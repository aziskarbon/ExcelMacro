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2.xml" ContentType="application/vnd.openxmlformats-officedocument.spreadsheetml.table+xml"/>
  <Override PartName="/xl/slicers/slicer2.xml" ContentType="application/vnd.ms-excel.slicer+xml"/>
  <Override PartName="/xl/pivotTables/pivotTable5.xml" ContentType="application/vnd.openxmlformats-officedocument.spreadsheetml.pivotTable+xml"/>
  <Override PartName="/xl/drawings/drawing4.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slicers/slicer3.xml" ContentType="application/vnd.ms-excel.slicer+xml"/>
  <Override PartName="/xl/charts/chart1.xml" ContentType="application/vnd.openxmlformats-officedocument.drawingml.chart+xml"/>
  <Override PartName="/xl/pivotTables/pivotTable6.xml" ContentType="application/vnd.openxmlformats-officedocument.spreadsheetml.pivotTable+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slicers/slicer4.xml" ContentType="application/vnd.ms-excel.slicer+xml"/>
  <Override PartName="/xl/charts/chart2.xml" ContentType="application/vnd.openxmlformats-officedocument.drawingml.chart+xml"/>
  <Override PartName="/xl/drawings/drawing6.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tables/table3.xml" ContentType="application/vnd.openxmlformats-officedocument.spreadsheetml.table+xml"/>
  <Override PartName="/xl/drawings/drawing7.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xml" ContentType="application/vnd.openxmlformats-officedocument.spreadsheetml.table+xml"/>
  <Override PartName="/xl/drawings/drawing8.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tables/table5.xml" ContentType="application/vnd.openxmlformats-officedocument.spreadsheetml.table+xml"/>
  <Override PartName="/xl/drawings/drawing9.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tables/table6.xml" ContentType="application/vnd.openxmlformats-officedocument.spreadsheetml.table+xml"/>
  <Override PartName="/xl/drawings/drawing10.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7.xml" ContentType="application/vnd.openxmlformats-officedocument.spreadsheetml.table+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hidePivotFieldList="1"/>
  <bookViews>
    <workbookView xWindow="0" yWindow="0" windowWidth="20730" windowHeight="11760" tabRatio="778" activeTab="1"/>
  </bookViews>
  <sheets>
    <sheet name="Main Menu" sheetId="26" r:id="rId1"/>
    <sheet name="Report" sheetId="27" r:id="rId2"/>
    <sheet name="Risiko Komposit" sheetId="13" r:id="rId3"/>
    <sheet name="Chart" sheetId="18" r:id="rId4"/>
    <sheet name="Graphs" sheetId="29" r:id="rId5"/>
    <sheet name="Risiko Strategis" sheetId="21" r:id="rId6"/>
    <sheet name="Risiko Operasional" sheetId="22" r:id="rId7"/>
    <sheet name="Risiko Hukum" sheetId="23" r:id="rId8"/>
    <sheet name="Risiko Kepatuhan" sheetId="24" r:id="rId9"/>
    <sheet name="Risiko Reputasi" sheetId="25" r:id="rId10"/>
    <sheet name="Database" sheetId="9" r:id="rId11"/>
    <sheet name="Index" sheetId="5" state="hidden" r:id="rId12"/>
  </sheets>
  <definedNames>
    <definedName name="_xlnm._FilterDatabase" localSheetId="11" hidden="1">Index!$A$1:$G$27</definedName>
    <definedName name="_xlnm._FilterDatabase" localSheetId="7" hidden="1">'Risiko Hukum'!$A$6:$K$38</definedName>
    <definedName name="_xlnm._FilterDatabase" localSheetId="8" hidden="1">'Risiko Kepatuhan'!$A$6:$K$33</definedName>
    <definedName name="_xlnm._FilterDatabase" localSheetId="6" hidden="1">'Risiko Operasional'!$A$6:$K$50</definedName>
    <definedName name="_xlnm._FilterDatabase" localSheetId="9" hidden="1">'Risiko Reputasi'!$A$6:$K$41</definedName>
    <definedName name="_xlnm._FilterDatabase" localSheetId="5" hidden="1">'Risiko Strategis'!$A$6:$K$39</definedName>
    <definedName name="Slicer_Period">#N/A</definedName>
    <definedName name="Slicer_Period1">#N/A</definedName>
    <definedName name="Slicer_Period2">#N/A</definedName>
    <definedName name="Slicer_Risiko">#N/A</definedName>
    <definedName name="Slicer_Risiko1">#N/A</definedName>
  </definedNames>
  <calcPr calcId="145621" iterate="1" iterateCount="1" iterateDelta="0"/>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4" i="21" l="1"/>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I4" i="23" l="1"/>
  <c r="I4" i="25"/>
  <c r="I4" i="24"/>
  <c r="I4" i="22"/>
  <c r="D66" i="27"/>
  <c r="D31" i="5" l="1"/>
  <c r="D30" i="5"/>
  <c r="D29" i="5"/>
  <c r="D28" i="5"/>
  <c r="D27" i="5"/>
  <c r="B8" i="13"/>
  <c r="B7" i="13"/>
  <c r="B11" i="13"/>
  <c r="C8" i="13"/>
  <c r="B10" i="13"/>
  <c r="B9" i="13"/>
  <c r="C11" i="13"/>
  <c r="C9" i="13"/>
  <c r="C7" i="13"/>
  <c r="C10" i="13"/>
  <c r="D13" i="27" l="1"/>
  <c r="D32" i="27"/>
  <c r="E10" i="13"/>
  <c r="F13" i="27" s="1"/>
  <c r="D10" i="13"/>
  <c r="E14" i="27"/>
  <c r="D37" i="27"/>
  <c r="D8" i="13"/>
  <c r="D24" i="27"/>
  <c r="E8" i="13"/>
  <c r="F11" i="27" s="1"/>
  <c r="D11" i="27"/>
  <c r="D7" i="13"/>
  <c r="D10" i="27"/>
  <c r="D20" i="27"/>
  <c r="E13" i="27"/>
  <c r="D33" i="27"/>
  <c r="D9" i="13"/>
  <c r="D12" i="27"/>
  <c r="D28" i="27"/>
  <c r="E9" i="13"/>
  <c r="F12" i="27" s="1"/>
  <c r="E11" i="27"/>
  <c r="D25" i="27"/>
  <c r="D14" i="27"/>
  <c r="D36" i="27"/>
  <c r="E11" i="13"/>
  <c r="F14" i="27" s="1"/>
  <c r="D11" i="13"/>
  <c r="E12" i="27"/>
  <c r="D29" i="27"/>
  <c r="E10" i="27"/>
  <c r="D21" i="27"/>
  <c r="D2" i="5"/>
  <c r="D3" i="5"/>
  <c r="D4" i="5"/>
  <c r="D5" i="5"/>
  <c r="D6" i="5"/>
  <c r="D7" i="5"/>
  <c r="D8" i="5"/>
  <c r="D9" i="5"/>
  <c r="D10" i="5"/>
  <c r="D11" i="5"/>
  <c r="D12" i="5"/>
  <c r="D13" i="5"/>
  <c r="D14" i="5"/>
  <c r="D15" i="5"/>
  <c r="D16" i="5"/>
  <c r="D17" i="5"/>
  <c r="D18" i="5"/>
  <c r="D19" i="5"/>
  <c r="D20" i="5"/>
  <c r="D21" i="5"/>
  <c r="D22" i="5"/>
  <c r="D23" i="5"/>
  <c r="D24" i="5"/>
  <c r="D25" i="5"/>
  <c r="D26" i="5"/>
  <c r="G8" i="13" l="1"/>
  <c r="G9" i="13"/>
  <c r="G10" i="13"/>
  <c r="G11" i="13"/>
  <c r="E7" i="13"/>
  <c r="F10" i="27" l="1"/>
  <c r="E12" i="13"/>
  <c r="G7" i="13"/>
  <c r="F15" i="27" l="1"/>
  <c r="G12" i="13"/>
  <c r="C48" i="27"/>
  <c r="D24" i="13"/>
  <c r="C51" i="27"/>
</calcChain>
</file>

<file path=xl/sharedStrings.xml><?xml version="1.0" encoding="utf-8"?>
<sst xmlns="http://schemas.openxmlformats.org/spreadsheetml/2006/main" count="2144" uniqueCount="598">
  <si>
    <t>Tahapan atau mekanisme penyusunan rencana strategis oleh Direksi</t>
  </si>
  <si>
    <t>Risiko Inherent</t>
  </si>
  <si>
    <t>KPMR</t>
  </si>
  <si>
    <t>Pemahaman Direksi atas keseluruhan rencana strategis Perusahaan</t>
  </si>
  <si>
    <t>Proses Perusahaan dalam melakukan formulasi strategi bisnis serta perubahan strategi bisnis yang dilakukan (jika ada)</t>
  </si>
  <si>
    <t>Strategi alternatif (kontinjen/emergent strategy) dalam hal terjadi perubahan lingkungan bisnis yang telah diantisipasi</t>
  </si>
  <si>
    <t>Kondisi pasar dimana Perusahaan menjalankan kegiatan usaha</t>
  </si>
  <si>
    <t>Keunggulan kompetitif yang dimiliki oleh Perusahaan dibandingkan dengan kompetitornya</t>
  </si>
  <si>
    <t>Reputasi Perusahaan</t>
  </si>
  <si>
    <t>Kesiapan Perusahaan dalam menghadapi perubahan ekonomi secara makro dan dampaknya terhadap kondisi Perusahaan, antara lain suku bunga, inflasi, dan nilai tukar</t>
  </si>
  <si>
    <t>Strategi Perusahaan dalam mempertahankan atau meningkatkan posisi strategis di pasar yang akan dilakukan Perusahaan baik kegiatan usaha, cakupan wilayah operasional atau lainnya</t>
  </si>
  <si>
    <t>Dokumentasi penyebab terjadinya deviasi rencana bisnis</t>
  </si>
  <si>
    <t>Pilihan strategi perusahaan apakah cenderung menggunakan strategi berisiko tinggi atau strategi berisiko rendah</t>
  </si>
  <si>
    <t>Periode</t>
  </si>
  <si>
    <t>Risiko</t>
  </si>
  <si>
    <t>Risiko Strategis</t>
  </si>
  <si>
    <t>Key</t>
  </si>
  <si>
    <t>Rating</t>
  </si>
  <si>
    <t>Peringkat Komposit</t>
  </si>
  <si>
    <t>Penjelasan RI</t>
  </si>
  <si>
    <t>Penjelasan KPMR</t>
  </si>
  <si>
    <t>Dengan mempertimbangkan aktivitas bisnis yang dilakukan Perusahaan, kemungkinan kerugian yang dihadapi Perusahaan dari Risiko Strategis tergolong sangat rendah selama periode waktu tertentu pada masa yang akan datang. Contoh karakteristik Perusahaan yang termasuk dalam peringkat 1 (rendah) antara lain sebagai berikut: a. Perusahaan melanjutkan strategi yang telah ada sesuai dengan kondisi lingkungan usaha dengan tingkat keberhasilan strategi yang tinggi; b. strategi Perusahaan tergolong konservatif atau berisiko rendah; c. produk asuransi/reasuransi yang diperantarai atau yang dinilai risiko/kerugiannya, layanan, dan/atau aktivitas Perusahaan tergolong stabil, tidak kompleks, dan terdiversifikasi; d. Perusahaan memiliki keunggulan kompetitif yang stabil dan tidak terdapat ancaman dari kompetitor; dan e. pencapaian rencana bisnis sangat memadai</t>
  </si>
  <si>
    <t>Dengan mempertimbangkan aktivitas bisnis yang dilakukan Perusahaan, kemungkinan kerugian yang dihadapi Perusahaan dari Risiko Strategis tergolong tinggi selama periode waktu tertentu pada masa yang akan datang. Contoh karakteristik Perusahaan yang termasuk dalam peringkat 4 (sedang tinggi) antara lain sebagai berikut: a. Perusahaan menerapkan strategi untuk memasuki bisnis atau pasar baru sesuai dengan kondisi lingkungan usaha dengan tingkat keberhasilan yang belum dapat dipastikan; b. strategi Perusahaan tergolong berisiko tinggi; c. beberapa produk asuransi/reasuransi yang diperantarai atau yang dinilai risiko/kerugiannya, layanan, dan/atau aktivitas Perusahaan terkonsentrasi dan tergolong kompleks; d. Perusahaan kurang memiliki keunggulan kompetitif, atau terdapat ancaman signifikan dari kompetitor; dan e. pencapaian rencana bisnis kurang memadai.</t>
  </si>
  <si>
    <t>Dengan mempertimbangkan aktivitas bisnis yang dilakukan Perusahaan, kemungkinan kerugian yang dihadapi Perusahaan dari Risiko Strategis tergolong sangat tinggi selama periode waktu tertentu di masa yang akan datang. Contoh karakteristik Perusahaan yang termasuk dalam peringkat 5 (tinggi) antara lain sebagai berikut: a. mayoritas strategi Perusahaan beralih kepada area yang berbeda yang bukan merupakan core business dan kompetensi sesuai dengan kondisi lingkungan usaha Perusahaan; b. strategi Perusahaan tergolong berisiko sangat tinggi; c. produk asuransi/reasuransi yang diperantarai atau yang dinilai risiko/kerugiannya, layanan, dan/atau kegiatan usaha sangat terkonsentrasi dan tergolong kompleks; d. Perusahaan tidak memiliki keunggulan kompetitif dan terdapat ancaman sangat signifikan dari kompetitor; dan e. pencapaian rencana bisnis Perusahaan tidak memadai.</t>
  </si>
  <si>
    <t>KPMR untuk Risiko Strategis sangat memadai, terdapat kelemahan minor yang tidak signifikan sehingga dapat diabaikan. Contoh karakteristik Perusahaan yang termasuk dalam peringkat 1 (kuat) antara lain sebagai berikut: a. perumusan tingkat Risiko yang akan diambil (risk appetite) dan toleransi risiko (risk tolerance) sangat memadai serta telah sejalan dengan sasaran strategis dan strategi bisnis secara keseluruhan; b. Direksi dan Dewan Komisaris memiliki kesadaran (awareness) dan pemahaman yang sangat baik mengenai Manajemen Risiko untuk Risiko Strategi, sumber Risiko Strategis, dan tingkat Risiko Strategi di Perusahaan; c. budaya Manajemen Risiko untuk Risiko Strategis sangat kuat dan telah diinternalisasikan dengan sangat baik pada seluruh level organisasi; d. pelaksanaan tugas Direksi dan Dewan Komisaris secara keseluruhan sangat memadai; e. fungsi Manajemen Risiko untuk Risiko Strategis independen, memiliki tugas dan tanggung jawab yang jelas, dan telah berjalan dengan sangat baik; f. delegasi kewenangan dikendalikan dan dipantau secara berkala, dan telah berjalan dengan sangat baik; g. strategi Manajemen Risiko untuk Risiko Strategis sangat sejalan dengan tingkat Risiko yang akan diambil (risk appetite) dan toleransi Risiko Strategis; h. kebijakan, prosedur, dan penetapan limit untuk Risiko Strategis sangat memadai dan tersedia untuk seluruh area Manajemen Risiko untuk Risiko Strategis, sejalan dengan penerapan, dan dipahami dengan baik oleh pegawai; i. proses Manajemen Risiko untuk Risiko Strategis sangat memadai dalam mengidentifikasi, mengukur, mengendalikan, dan memantau Risiko Strategis; j. sistem informasi Manajemen Risiko untuk Risiko Strategis sangat baik sehingga menghasilkan laporan Risiko Strategis yang komprehensif dan terintegrasi kepada Direksi dan Dewan Komisaris; k. SDM sangat memadai dari baik sisi kuantitas maupun kualitas pada fungsi Manajemen Risiko untuk Risiko Strategis; l. sistem pengendalian internal sangat efektif dalam mendukung pelaksanaan Manajemen Risiko untuk Risiko Strategis; m. pelaksanaan kaji ulang independen oleh fungsi audit internal dan fungsi yang melakukan kaji ulang independen sangat memadai baik dari sisi metodologi, frekuensi, maupun pelaporan kepada Direksi dan Dewan Komisaris; n. secara umum tidak terdapat kelemahan yang signifikan berdasarkan hasil kaji ulang independen; dan o. tindak lanjut atas kaji ulang independen telah dilaksanakan dengan sangat memadai.</t>
  </si>
  <si>
    <t>KPMR untuk Risiko Strategis memadai meskipun terdapat beberapa kelemahan minor yang dapat diselesaikan pada aktivitas bisnis normal. Contoh karakteristik Perusahaan yang termasuk dalam peringkat 2 (agak kuat) antara lain sebagai berikut: a. perumusan tingkat Risiko yang akan diambil (risk appetite) dan toleransi Risiko (risk tolerance) memadai dan telah sejalan dengan sasaran strategis dan strategi bisnis secara keseluruhan; b. Direksi dan Dewan Komisaris memiliki kesadaran (awareness) dan pemahaman yang baik mengenai Manajemen Risiko untuk Risiko Strategis, sumber Risiko Strategis dan tingkat Risiko Strategis di Perusahaan; c. budaya Manajemen Risiko untuk Risiko Strategis kuat dan telah diinternalisasikan dengan baik pada seluruh level organisasi; d. pelaksanaan tugas Direksi dan Dewan Komisaris secara umum memadai, terdapat beberapa kelemahan tetapi tidak signifikan dan dapat diperbaiki dengan segera; e. fungsi Manajemen Risiko untuk Risiko Strategis memiliki tugas dan tanggung jawab yang jelas dan telah berjalan dengan baik, tetapi terdapat kelemahan minor yang dapat diselesaikan pada aktivitas bisnis normal; f. delegasi kewenangan dikendalikan dan dipantau secara berkala serta telah berjalan dengan baik; g. strategi Manajemen Risiko untuk Risiko Strategis sejalan dengan tingkat Risiko yang akan diambil (risk appetite) dan toleransi Risiko Strategis; h. kebijakan, prosedur, dan penetapan limit untuk Risiko Strategis memadai dan tersedia untuk seluruh area Manajemen Risiko untuk Risiko Strategis, sejalan dengan penerapan, dan dipahami dengan baik oleh pegawai meskipun terdapat kelemahan minor; i. proses Manajemen Risiko untuk Risiko Strategis memadai dalam mengidentifikasi, mengukur, mengendalikan, dan memantau Risiko Strategis; j. sistem informasi Manajemen Risiko untuk Risiko Strategis baik, termasuk pelaporan Risiko Strategis kepada Direksi dan Dewan Komisaris, tetapi terdapat kelemahan minor yang dapat diperbaiki dengan mudah; k. SDM memadai baik dari sisi kuantitas maupun kualitas pada fungsi Manajemen Risiko untuk Risiko Strategis; l. sistem pengendalian internal efektif dalam mendukung pelaksanaan Manajemen Risiko untuk Risiko Strategis; m. pelaksanaan kaji ulang independen oleh fungsi audit internal dan fungsi yang melakukan kaji ulang independen memadai baik dari sisi metodologi, frekuensi, maupun pelaporan kepada Direksi dan Dewan Komisaris; n. terdapat kelemahan tetapi tidak signifikan berdasarkan hasil kaji ulang independen; dan o. tindak lanjut atas kaji ulang independen telah dilaksanakan dengan memadai.</t>
  </si>
  <si>
    <t>KPMR untuk Risiko Strategis cukup memadai. Meskipun persyaratan minimum terpenuhi, terdapat beberapa kelemahan yang memerlukan perhatian manajemen. Contoh karakteristik Perusahaan yang termasuk dalam peringkat 3 (cukup) antara lain sebagai berikut: a. perumusan tingkat Risiko yang akan diambil (risk appetite) dan toleransi Risiko (risk tolerance) cukup memadai tetapi tidak selalu sejalan dengan sasaran strategis dan strategi bisnis secara keseluruhan; b. Direksi dan Dewan Komisaris memiliki kesadaran (awareness) dan pemahaman yang cukup baik mengenai Manajemen Risiko untuk Risiko Strategis, sumber Risiko Strategis, dan tingkat Risiko Strategi di Perusahaan; c. budaya Manajemen Risiko untuk Risiko Strategis cukup kuat dan telah diinternalisasikan dengan cukup baik tetapi belum selalu dilaksanakan secara konsisten; d. pelaksanaan tugas Direksi dan Dewan Komisaris secara umum cukup memadai, tetapi terdapat kelemahan pada beberapa aspek penilaian yang perlu mendapat perhatian manajemen; e. fungsi Manajemen Risiko untuk Risiko Strategis cukup baik, tetapi terdapat beberapa kelemahan termasuk pelaporan kepada Direksi dan Dewan Komisaris yang membutuhkan perhatian manajemen; f. delegasi kewenangan cukup baik, tetapi pengendalian dan pemantauan tidak selalu dilaksanakan dengan baik; g. strategi Manajemen Risiko untuk Risiko Strategis cukup sejalan dengan tingkat Risiko yang akan diambil (risk appetite) dan toleransi Risiko Strategis; h. kebijakan, prosedur, dan penetapan limit untuk Risiko Strategis cukup memadai tetapi tidak selalu konsisten dengan penerapan; i. proses Manajemen Risiko untuk Risiko Strategis cukup memadai dalam mengidentifikasi, mengukur, mengendalikan, dan memantau Risiko Strategis; j. sistem informasi Manajemen Risiko untuk Risiko Strategis memenuhi ekspektasi minimum tetapi terdapat beberapa kelemahan termasuk pelaporan kepada Direksi dan Dewan Komisaris yang membutuhkan perhatian manajemen; k. SDM cukup memadai baik dari sisi kuantitas maupun kualitas pada fungsi Manajemen Risiko untuk Risiko Strategis; l. sistem pengendalian internal cukup efektif dalam mendukung pelaksanaan Manajemen Risiko untuk Risiko Strategis; m. pelaksanaan kaji ulang independen oleh fungsi audit internal dan fungsi yang melakukan kaji ulang independen cukup memadai, tetapi terdapat beberapa kelemahan pada metodologi, frekuensi, dan/atau pelaporan kepada Direksi dan Dewan Komisaris yang memerlukan perhatian manajemen; n. terdapat kelemahan yang cukup signifikan berdasarkan hasil kaji ulang independen yang memerlukan perhatian manajemen; dan o. tindak lanjut atas kaji ulang independen telah dilaksanakan dengan cukup memadai.</t>
  </si>
  <si>
    <t>KPMR untuk Risiko Strategis kurang memadai, terdapat kelemahan signifikan pada berbagai aspek Manajemen Risiko untuk Risiko Strategis yang memerlukan tindakan korektif segera. Contoh karakteristik Perusahaan yang termasuk dalam peringkat 4 (agak lemah) antara lain sebagai berikut: a. perumusan tingkat Risiko yang akan diambil (risk appetite) dan toleransi Risiko (risk tolerance) kurang memadai serta tidak sejalan dengan sasaran strategis dan strategi bisnis secara keseluruhan; b. terdapat kelemahan signifikan pada kesadaran (awareness) dan pemahaman Direksi dan Dewan Komisaris mengenai Manajemen Risiko untuk Risiko Strategis, sumber Risiko Strategis, dan tingkat Risiko Strategis di Perusahaan; c. budaya Manajemen Risiko untuk Risiko Strategis kurang kuat dan belum diinternalisasikan dengan baik pada setiap level organisasi; d. pelaksanaan tugas Direksi dan Dewan Komisaris secara umum kurang memadai, terdapat kelemahan pada berbagai aspek penilaian yang memerlukan perbaikan segera; e. terdapat kelemahan signifikan pada fungsi Manajemen Risiko untuk Risiko Strategis yang memerlukan perbaikan segera; f. delegasi kewenangan lemah, tidak dikendalikan dan tidak dipantau dengan baik; g. strategi Manajemen Risiko untuk Risiko Strategis kurang sejalan dengan tingkat Risiko yang akan diambil (risk appetite) dan toleransi Risiko Strategis; h. terdapat kelemahan siginifikan pada kebijakan, prosedur, dan penetapan limit untuk Risiko Strategis; i. proses Manajemen Risiko untuk Risiko Strategis kurang memadai dalam mengidentifikasi, mengukur, mengendalikan, dan memantau Risiko Strategis; j. terdapat kelemahan signifikan pada sistem informasi Manajemen Risiko untuk Risiko Strategis termasuk pelaporan kepada Direksi dan Dewan Komisaris yang memerlukan perbaikan segera; k. SDM kurang memadai baik dari sisi kuantitas maupun kualitas pada fungsi Manajemen Risiko untuk Risiko Strategis; l. sistem pengendalian internal kurang efektif dalam mendukung pelaksanaan Manajemen Risiko untuk Risiko Strategis; m. pelaksanaan kaji ulang independen oleh fungsi audit internal dan fungsi yang melakukan kaji ulang independen kurang memadai, terdapat kelemahan pada metodologi, frekuensi, dan/atau pelaporan kepada Direksi dan Dewan Komisaris yang membutuhkan perbaikan segera; n. terdapat kelemahan yang signifikan berdasarkan hasil kaji ulang independen yang membutuhkan tindakan perbaikan segera; dan o. tindak lanjut atas kaji ulang independen kurang memadai.</t>
  </si>
  <si>
    <t>KPMR untuk Risiko Strategis tidak memadai, terdapat kelemahan signifikan pada berbagai aspek Manajemen Risiko untuk Risiko Strategis yang tindakan penyelesaiannya di luar kemampuan manajemen. Contoh karakteristik Perusahaan yang termasuk dalam peringkat 5 (lemah) antara lain sebagai berikut: a. perumusan tingkat Risiko yang akan diambil (risk appetite) dan toleransi Risiko (risk tolerance) tidak memadai serta tidak terdapat kaitan dengan sasaran strategis dan strategi bisnis secara keseluruhan;
b. kesadaran (awareness) dan pemahaman Direksi dan
Dewan Komisaris sangat lemah mengenai Manajemen Risiko untuk Risiko Strategis, sumber Risiko Strategis, dan tingkat Risiko Strategis di Perusahaan; c. budaya Manajemen Risiko untuk Risiko Strategis tidak kuat atau belum ada sama sekali; d. pelaksanaan tugas Direksi dan Dewan Komisaris tidak memadai, terdapat kelemahan yang siginifikan pada hampir seluruh aspek penilaian dan tindakan dan penyelesaiannya di luar kemampuan Perusahaan; e. terdapat kelemahan signifikan pada fungsi Manajemen Risiko untuk Risiko Strategis yang membutuhkan perbaikan fundamental; f. delegasi kewenangan sangat lemah atau tidak ada; g. strategi Manajemen Risiko untuk Risiko Strategis tidak sejalan dengan tingkat Risiko yang akan diambil (risk appetite) dan toleransi Risiko Strategis; h. terdapat kelemahan sangat signifikan pada kebijakan, prosedur, dan penetapan limit untuk Risiko Strategis; i. proses Manajemen Risiko untuk Risiko Strategis tidak memadai dalam mengidentifikasi, mengukur, mengendalikan, dan memantau Risiko Strategis; j. terdapat kelemahan fundamental pada sistem informasi Manajemen Risiko untuk Risiko Strategis; k. SDM tidak memadai baik dari sisi kuantitas maupun kualitas pada fungsi Manajemen Risiko untuk Risiko Strategis; l. sistem pengendalian internal tidak efektif dalam mendukung pelaksanaan Manajemen Risiko untuk Risiko Strategis; m. pelaksanaan kaji ulang independen oleh fungsi audit internal dan fungsi yang melakukan kaji ulang independen kurang atau tidak memadai, terdapat kelemahan pada metodologi, frekuensi, dan/atau pelaporan kepada Direksi dan Dewan Komisaris yang memerlukan perbaikan fundamental; n. terdapat kelemahan yang sangat signifikan berdasarkan hasil kaji ulang independen yang tindakan perbaikannya di luar kemampuan manajemen; dan o. tindak lanjut atas kaji ulang independen tidak memadai atau tidak ada.</t>
  </si>
  <si>
    <t>Dengan mempertimbangkan aktivitas bisnis yang dilakukan Perusahaan, kemungkinan kerugian yang dihadapi Perusahaan dari Risiko Strategis tergolong rendah selama periode waktu tertentu pada masa yang akan datang. Contoh karakteristik Perusahaan yang termasuk dalam peringkat 2 (sedang rendah) antara lain sebagai berikut: a. Perusahaan melanjutkan strategi yang sama atau memiliki beberapa strategi baru sesuai dengan kondisi lingkungan usaha namun masih dalam core bisnis dan kompetensi Perusahaan; b. strategi Perusahaan berisiko rendah; c. produk asuransi/reasuransi yang diperantarai atau yang dinilai risiko/kerugiannya, layanan, dan/atau aktivitas Perusahaan tergolong tidak kompleks dan terdiversifikasi; d. Perusahaan memiliki keunggulan kompetitif dan ancaman kompetitor tergolong minor; dan e. pencapaian rencana bisnis memadai.</t>
  </si>
  <si>
    <t>Dengan mempertimbangkan aktivitas bisnis yang dilakukan Perusahaan, kemungkinan kerugian yang dihadapi Perusahaan dari Risiko Strategis tergolong cukup tinggi selama periode waktu tertentu pada masa yang akan datang. Contoh karakteristik Perusahaan yang termasuk dalam peringkat 3 (sedang) antara lain sebagai berikut: a. Perusahan menerapkan stategi baru untuk memasuki bisnis atau pasar baru sesuai dengan kondisi lingkungan usaha namun masih dalam core business dan kompetensi Perusahaan; b. strategi Perusahaan tergolong berisiko cukup tinggi; c. produk asuransi/reasuransi yang diperantarai atau yang dinilai risiko/kerugiannya, layanan, dan/atau aktivitas Perusahaan secara umum terdiversifikasi, namun terdapat beberapa yang tergolong kompleks; d. Perusahaan memiliki keunggulan kompetitif yang moderat dan terdapat ancaman dari kompetitor; dan e. pencapaian rencana bisnis cukup memadai.</t>
  </si>
  <si>
    <t>Row Labels</t>
  </si>
  <si>
    <t>Grand Total</t>
  </si>
  <si>
    <t>Column Labels</t>
  </si>
  <si>
    <t>sangat memadai</t>
  </si>
  <si>
    <t>memadai</t>
  </si>
  <si>
    <t>sangat memadai serta telah sejalan</t>
  </si>
  <si>
    <t>memadai dan telah sejalan</t>
  </si>
  <si>
    <t>cukup memadai tapi tidak selalu sejalan</t>
  </si>
  <si>
    <t>kurang memadai serta tidak sejalan</t>
  </si>
  <si>
    <t>tidak memadai serta tidak terdapat kaitan</t>
  </si>
  <si>
    <t>Direksi dan Dewan Komisaris memiliki kesadaran (awareness) dan pemahaman yang _ _ _ _ _ _ _ _mengenai Manajemen Risiko untuk Risiko Strategis, sumber Risiko Strategis dan tingkat Risiko Strategis di Perusahaan</t>
  </si>
  <si>
    <t>Perumusan tingkat Risiko yang akan diambil (risk appetite) dan toleransi risiko (risk tolerance)_ _ _ _ _ _ _ _ dengan sasaran strategis dan strategi bisnis secara keseluruhan</t>
  </si>
  <si>
    <t>sangat baik</t>
  </si>
  <si>
    <t>baik</t>
  </si>
  <si>
    <t>cukup baik</t>
  </si>
  <si>
    <t>Skor</t>
  </si>
  <si>
    <t>Budaya Manajemen Risiko untuk Risiko Strategis _ _ _ _ _ _</t>
  </si>
  <si>
    <t>tidak kuat atau belum ada sama sekali</t>
  </si>
  <si>
    <t>kurang kuat dan belum diinternalisasikan dengan baik pada setiap level organisasi</t>
  </si>
  <si>
    <t>cukup kuat dan telah diinternalisasikan dengan cukup baik tetapi belum selalu dilaksanakan secara konsisten</t>
  </si>
  <si>
    <t>kuat dan telah diinternalisasikan dengan baik pada seluruh level organisasi</t>
  </si>
  <si>
    <t>sangat kuat dan telah diinternalisasikan dengan sangat baik pada seluruh level organisasi</t>
  </si>
  <si>
    <t>cukup memadai, tetapi terdapat kelemahan pada beberapa aspek penilaian yang perlu mendapat perhatian manajemen</t>
  </si>
  <si>
    <t>memadai, terdapat beberapa kelemahan tetapi tidak signifikan dan dapat diperbaiki dengan segera</t>
  </si>
  <si>
    <t>Pelaksanaan tugas Direksi dan Dewan Komisaris secara umum/keseluruhan _ _ _ _ _ _ _ _</t>
  </si>
  <si>
    <t>kurang memadai, terdapat kelemahan pada berbagai aspek penilaian yang memerlukan perbaikan segera</t>
  </si>
  <si>
    <t>tidak memadai, terdapat kelemahan yang siginifikan pada hampir seluruh aspek penilaian dan tindakan dan penyelesaiannya di luar kemampuan Perusahaan</t>
  </si>
  <si>
    <t>independen, memiliki tugas dan tanggung jawab yang jelas, dan telah berjalan dengan sangat baik</t>
  </si>
  <si>
    <t>Fungsi Manajemen Risiko untuk Risiko Strategis _ _ _ _ _ _ _</t>
  </si>
  <si>
    <t>memiliki tugas dan tanggung jawab yang jelas dan telah berjalan dengan baik, tetapi terdapat kelemahan minor yang dapat diselesaikan pada aktivitas bisnis normal</t>
  </si>
  <si>
    <t>cukup baik, tetapi terdapat beberapa kelemahan termasuk pelaporan kepada Direksi dan Dewan Komisaris yang membutuhkan perhatian manajemen</t>
  </si>
  <si>
    <t>memiliki kelemahan signifikan yang memerlukan perbaikan segera</t>
  </si>
  <si>
    <t>memiliki kelemahan signifikan yang membutuhkan perbaikan fundamental</t>
  </si>
  <si>
    <t>lemah secara signifikan</t>
  </si>
  <si>
    <t>sangat lemah</t>
  </si>
  <si>
    <t>cukup baik, tetapi pengendalian dan pemantauan tidak selalu dilaksanakan dengan baik</t>
  </si>
  <si>
    <t>lemah, tidak dikendalikan dan tidak dipantau dengan baik</t>
  </si>
  <si>
    <t>Delegasi kewenangan _ _ _ _ _ _ _</t>
  </si>
  <si>
    <t>dikendalikan dan dipantau secara berkala, dan telah berjalan dengan sangat baik</t>
  </si>
  <si>
    <t>dikendalikan dan dipantau secara berkala serta telah berjalan dengan baik</t>
  </si>
  <si>
    <t>sangat lemah atau tidak ada</t>
  </si>
  <si>
    <t>Strategi Manajemen Risiko untuk Risiko Strategis _ _ _ _ _ _ _ dengan tingkat Risiko yang akan diambil (risk appetite) dan toleransi Risiko Strategis</t>
  </si>
  <si>
    <t>sangat sejalan</t>
  </si>
  <si>
    <t>sejalan</t>
  </si>
  <si>
    <t>cukup sejalan</t>
  </si>
  <si>
    <t>kurang sejalan</t>
  </si>
  <si>
    <t>tidak sejalan</t>
  </si>
  <si>
    <t>Kebijakan, prosedur, dan penetapan limit untuk Risiko Strategis _ _ _ _ _ _ _</t>
  </si>
  <si>
    <t>sangat memadai dan tersedia untuk seluruh area Manajemen Risiko untuk Risiko Strategis, sejalan dengan penerapan, dan dipahami dengan baik oleh pegawai</t>
  </si>
  <si>
    <t>cukup memadai tetapi tidak selalu konsisten dengan penerapan</t>
  </si>
  <si>
    <t>memiliki kelemahan</t>
  </si>
  <si>
    <t>memiliki kelemahan yang sangat signifikan</t>
  </si>
  <si>
    <t>No</t>
  </si>
  <si>
    <t>sangat baik sehingga menghasilkan laporan Risiko Strategis yang komprehensif dan terintegrasi kepada Direksi dan Dewan Komisaris</t>
  </si>
  <si>
    <t>Proses Manajemen Risiko untuk Risiko Strategi _ _ _ _ _ _ dalam mengidentifikasi, mengukur, mengedalikan, dan memantau Risiko Strategis</t>
  </si>
  <si>
    <t>cukup memadai</t>
  </si>
  <si>
    <t>kurang memadai</t>
  </si>
  <si>
    <t>tidak memadai</t>
  </si>
  <si>
    <t>Sistem informasi Manajemen Risiko untuk Risiko Strategis _ _ _ _ _ _</t>
  </si>
  <si>
    <t>baik, termasuk pelaporan Risiko Strategis kepada Direksi dan Dewan Komisaris, tetapi terdapat kelemahan minor yang dapat diperbaiki dengan mudah</t>
  </si>
  <si>
    <t>memenuhi ekspektasi minimum tetapi terdapat beberapa kelemahan termasuk pelaporan kepada Direksi dan Dewan Komisaris yang membutuhkan perhatian manajemen</t>
  </si>
  <si>
    <t>terdapat kelemahan signifikan termasuk pelaporan kepada Direksi dan Dewan Komisaris yang memerlukan perbaikan segera</t>
  </si>
  <si>
    <t>terdapat kelemahan fundamental</t>
  </si>
  <si>
    <t>SDM _ _ _ _ _ dari baik sisi kuantitas maupun kualitas pada fungsi Manajemen Risiko untuk Risiko Strategis</t>
  </si>
  <si>
    <t>sangat efektif</t>
  </si>
  <si>
    <t>Sistem pengendalian internal _ _ _ _ _ dalam mendukung pelaksanaan Manajemen Risiko untuk Risiko Strategis</t>
  </si>
  <si>
    <t>efektif</t>
  </si>
  <si>
    <t>cukup efektif</t>
  </si>
  <si>
    <t>kurang efektif</t>
  </si>
  <si>
    <t>tidak efektif</t>
  </si>
  <si>
    <t>Pelaksanaan kaji ulang independen oleh fungsi audit internal dan fungsi yang melakukan kaji ulang independen</t>
  </si>
  <si>
    <t>sangat memadai baik dari sisi metodologi, frekuensi,
maupun pelaporan kepada Direksi dan Dewan Komisaris</t>
  </si>
  <si>
    <t>memadai baik dari sisi metodologi, frekuensi, maupun pelaporan kepada Direksi dan Dewan Komisaris</t>
  </si>
  <si>
    <t>cukup memadai, tetapi terdapat beberapa kelemahan pada metodologi, frekuensi, dan/atau pelaporan kepada Direksi dan Dewan Komisaris yang memerlukan perhatian manajemen</t>
  </si>
  <si>
    <t>kurang memadai, terdapat kelemahan pada metodologi, frekuensi, dan/atau pelaporan kepada Direksi dan Dewan Komisaris yang membutuhkan perbaikan segera</t>
  </si>
  <si>
    <t>kurang atau tidak memadai, terdapat kelemahan pada metodologi, frekuensi, dan/atau pelaporan kepada Direksi dan Dewan Komisaris yang memerlukan perbaikan fundamental</t>
  </si>
  <si>
    <t>tidak terdapat kelemahan yang signifikan</t>
  </si>
  <si>
    <t>terdapat kelemahan namun tidak signifikan</t>
  </si>
  <si>
    <t>Secara umum _ _ _ _ _ berdasarkan hasil kaji ulang independen</t>
  </si>
  <si>
    <t>terdapat kelemahan yang cukup signifikan dan memerlukan perhatian manajemen</t>
  </si>
  <si>
    <t>terdapat kelemahan yang signifikan dan memerlukan tindakan manajemen</t>
  </si>
  <si>
    <t>terdapat kelemahan yang sangat signifikan dan tindakannya di luar kemampuan manajemen</t>
  </si>
  <si>
    <t>Tindak lanjut atas kaji ulang independen telah dilaksanakan dengan _ _ _ _ _ _ _</t>
  </si>
  <si>
    <t>tidak memadai atau tidak ada</t>
  </si>
  <si>
    <t>melanjutkan strategi yang sama atau memiliki beberapa strategi baru dengan tingkat keberhasilan strategi yang tinggi</t>
  </si>
  <si>
    <t>melanjutkan strategi yang sama atau memiliki beberapa strategi baru namun masih dalam core bisnis dan kompetensi Perusahaan</t>
  </si>
  <si>
    <t>Perusahaan _ _ _ _ _ sesuai dengan kondisi lingkungan usaha</t>
  </si>
  <si>
    <t>menerapkan strategi untuk memasuki bisnis atau pasar baru dengan tingkat keberhasilan yang belum dapat dipastikan</t>
  </si>
  <si>
    <t>memiliki mayoritas strategi yang beralih kepada area yang berbeda yang bukan merupakan core business dan kompetensi</t>
  </si>
  <si>
    <t>berisiko rendah</t>
  </si>
  <si>
    <t>berisiko cukup tinggi</t>
  </si>
  <si>
    <t>berisiko tinggi</t>
  </si>
  <si>
    <t>berisiko sangat tinggi</t>
  </si>
  <si>
    <t>Strategi Perusahaan tergolong berisiko _ _ _ _ _</t>
  </si>
  <si>
    <t>berisiko konservatif atau rendah</t>
  </si>
  <si>
    <t>tergolong tidak kompleks dan terdiversifikasi</t>
  </si>
  <si>
    <t>secara umum terdiversifikasi, namun terdapat beberapa yang tergolong kompleks</t>
  </si>
  <si>
    <t>Produk asuransi/reasuransi yang diperantarai atau yang dinilai risiko/kerugiannya, layanan, dan/atau aktivitas Perusahaan _ _ _ _ _ _ _</t>
  </si>
  <si>
    <t>tergolong stabil, tidak kompleks, dan terdiversifikasi</t>
  </si>
  <si>
    <t>terkonsentrasi dan tergolong kompleks</t>
  </si>
  <si>
    <t>sangat terkonsentrasi dan tergolong kompleks</t>
  </si>
  <si>
    <t>Perusahaan memiliki _ _ _ _ _ _</t>
  </si>
  <si>
    <t>keunggulan kompetitif yang stabil dan tidak terdapat ancaman dari kompetitor</t>
  </si>
  <si>
    <t>keunggulan kompetitif dan ancaman kompetitor tergolong minor</t>
  </si>
  <si>
    <t>keunggulan kompetitif yang moderat dan terdapat ancaman dari kompetitor</t>
  </si>
  <si>
    <t>keunggulan kompetitif yang kurang, atau terdapat ancaman signifikan dari kompetitor</t>
  </si>
  <si>
    <t>Pencapaian rencana bisnis _ _ _ _ _ _</t>
  </si>
  <si>
    <t>menerapkan stategi baru untuk memasuki bisnis atau pasar baru namun masih dalam core business dan kompetensi Perusahaan</t>
  </si>
  <si>
    <t>Risiko Operasional</t>
  </si>
  <si>
    <t>Direksi dan Dewan Komisaris memiliki kesadaran (awareness) dan pemahaman yang _ _ _ _ _ _ _ _mengenai Manajemen Risiko untuk Risiko Operasional, sumber Risiko Operasional dan tingkat Risiko Operasional di Perusahaan</t>
  </si>
  <si>
    <t>Budaya Manajemen Risiko untuk Risiko Operasional _ _ _ _ _</t>
  </si>
  <si>
    <t>Fungsi Manajemen Risiko untuk Risiko Operasional _ _ _ _ _ _</t>
  </si>
  <si>
    <t>Strategi Manajemen Risiko untuk Risiko Operasional _ _ _ _ _ _ _ dengan tingkat Risiko yang akan diambil (risk appetite) dan toleransi Risiko Operasional</t>
  </si>
  <si>
    <t>Kebijakan, prosedur, dan penetapan limit untuk Risiko Operasional _ _ _ _ _ _ _</t>
  </si>
  <si>
    <t>sangat memadai dan tersedia untuk seluruh area Manajemen Risiko untuk Risiko Operasional, sejalan dengan penerapan, dan dipahami dengan baik oleh pegawai</t>
  </si>
  <si>
    <t>Proses Manajemen Risiko untuk Risiko Operasional _ _ _ _ _ _ dalam mengidentifikasi, mengukur, mengedalikan, dan memantau Risiko Operasional</t>
  </si>
  <si>
    <t>Business continuity management _ _ _ _ _ _ _</t>
  </si>
  <si>
    <t>sangat andal dan sangat teruji</t>
  </si>
  <si>
    <t>andal dan teruji</t>
  </si>
  <si>
    <t>cukup andal</t>
  </si>
  <si>
    <t>kurang andal</t>
  </si>
  <si>
    <t>tidak andal</t>
  </si>
  <si>
    <t>sangat baik sehingga menghasilkan laporan Risiko Operasional yang komprehensif dan terintegrasi kepada Direksi dan Dewan Komisaris</t>
  </si>
  <si>
    <t>Sistem informasi Manajemen Risiko untuk Risiko Operasional  _ _ _ _ _ _</t>
  </si>
  <si>
    <t>baik, termasuk pelaporan Risiko Operasional kepada Direksi dan Dewan Komisaris, tetapi terdapat kelemahan minor yang dapat diperbaiki dengan mudah</t>
  </si>
  <si>
    <t>SDM _ _ _ _ _ dari baik sisi kuantitas maupun kualitas pada fungsi Manajemen Risiko untuk Risiko Operasional</t>
  </si>
  <si>
    <t>Sistem pengendalian internal _ _ _ _ _ dalam mendukung pelaksanaan Manajemen Risiko untuk Risiko Operasional</t>
  </si>
  <si>
    <t>Direksi dan Dewan Komisaris memiliki kesadaran (awareness) dan pemahaman yang _ _ _ _ _ _ _ _mengenai Manajemen Risiko untuk Risiko Hukum, sumber Risiko Hukum dan tingkat Risiko Hukum di Perusahaan</t>
  </si>
  <si>
    <t>Budaya Manajemen Risiko untuk Risiko Hukum _ _ _ _ _ _</t>
  </si>
  <si>
    <t>Fungsi Manajemen Risiko untuk Risiko Hukum _ _ _ _ _ _ _</t>
  </si>
  <si>
    <t>Strategi Manajemen Risiko untuk Risiko Hukum _ _ _ _ _ _ _ dengan tingkat Risiko yang akan diambil (risk appetite) dan toleransi Risiko Hukum</t>
  </si>
  <si>
    <t>Kebijakan, prosedur, dan penetapan limit untuk Risiko Hukum _ _ _ _ _ _ _</t>
  </si>
  <si>
    <t>sangat memadai dan tersedia untuk seluruh area Manajemen Risiko untuk Risiko Hukum sejalan dengan penerapan, dan dipahami dengan baik oleh pegawai</t>
  </si>
  <si>
    <t>memadai dan tersedia untuk seluruh area Manajemen Risiko untuk Risiko Hukum sejalan dengan penerapan, dan dipahami dengan baik oleh pegawai meskipun terdapat kelemahan minor</t>
  </si>
  <si>
    <t>memadai dan tersedia untuk seluruh area Manajemen Risiko untuk Risiko Operasional, sejalan dengan penerapan, dan dipahami dengan baik oleh pegawai meskipun terdapat kelemahan minor</t>
  </si>
  <si>
    <t>memadai dan tersedia untuk seluruh area Manajemen Risiko untuk Risiko Strategis, sejalan dengan penerapan, dan dipahami dengan baik oleh pegawai meskipun terdapat kelemahan minor</t>
  </si>
  <si>
    <t>Proses Manajemen Risiko untuk Risiko Hukum _ _ _ _ _ _ dalam mengidentifikasi, mengukur, mengedalikan, dan memantau Risiko Hukum</t>
  </si>
  <si>
    <t>Sistem informasi Manajemen Risiko untuk Risiko Hukum _ _ _ _ _ _</t>
  </si>
  <si>
    <t>sangat baik sehingga menghasilkan laporan Risiko Hukum yang komprehensif dan terintegrasi kepada Direksi dan Dewan Komisaris</t>
  </si>
  <si>
    <t>baik, termasuk pelaporan Risiko Hukum kepada Direksi dan Dewan Komisaris, tetapi terdapat kelemahan minor yang dapat diperbaiki dengan mudah</t>
  </si>
  <si>
    <t>SDM _ _ _ _ _ dari baik sisi kuantitas maupun kualitas pada fungsi Manajemen Risiko untuk Risiko Hukum</t>
  </si>
  <si>
    <t>Sistem pengendalian internal _ _ _ _ _ dalam mendukung pelaksanaan Manajemen Risiko untuk Risiko Hukum</t>
  </si>
  <si>
    <t>Direksi dan Dewan Komisaris memiliki kesadaran (awareness) dan pemahaman yang _ _ _ _ _ _ _ _mengenai Manajemen Risiko untuk Risiko Kepatuhan, sumber Risiko Kepatuhan dan tingkat Risiko Kepatuhan di Perusahaan</t>
  </si>
  <si>
    <t>Budaya Manajemen Risiko untuk Risiko Kepatuhan _ _ _ _ _ _</t>
  </si>
  <si>
    <t>Fungsi Manajemen Risiko untuk Risiko Kepatuhan _ _ _ _ _ _ _</t>
  </si>
  <si>
    <t>Strategi Manajemen Risiko untuk Risiko Kepatuhan _ _ _ _ _ _ _ dengan tingkat Risiko yang akan diambil (risk appetite) dan toleransi Risiko Kepatuhan</t>
  </si>
  <si>
    <t>Kebijakan, prosedur, dan penetapan limit untuk Risiko Kepatuhan _ _ _ _ _ _ _</t>
  </si>
  <si>
    <t>sangat memadai dan tersedia untuk seluruh area Manajemen Risiko untuk Risiko Kepatuhan sejalan dengan penerapan, dan dipahami dengan baik oleh pegawai</t>
  </si>
  <si>
    <t>memadai dan tersedia untuk seluruh area Manajemen Risiko untuk Risiko Kepatuhan sejalan dengan penerapan, dan dipahami dengan baik oleh pegawai meskipun terdapat kelemahan minor</t>
  </si>
  <si>
    <t>Proses Manajemen Risiko untuk Risiko Kepatuhan _ _ _ _ _ _ dalam mengidentifikasi, mengukur, mengedalikan, dan memantau Risiko Kepatuhan</t>
  </si>
  <si>
    <t>Sistem informasi Manajemen Risiko untuk Risiko Kepatuhan _ _ _ _ _ _</t>
  </si>
  <si>
    <t>sangat baik sehingga menghasilkan laporan Risiko Kepatuhan yang komprehensif dan terintegrasi kepada Direksi dan Dewan Komisaris</t>
  </si>
  <si>
    <t>baik, termasuk pelaporan Risiko Kepatuhan kepada Direksi dan Dewan Komisaris, tetapi terdapat kelemahan minor yang dapat diperbaiki dengan mudah</t>
  </si>
  <si>
    <t>SDM _ _ _ _ _ dari baik sisi kuantitas maupun kualitas pada fungsi Manajemen Risiko untuk Risiko Kepatuhan</t>
  </si>
  <si>
    <t>Sistem pengendalian internal _ _ _ _ _ dalam mendukung pelaksanaan Manajemen Risiko untuk Risiko Kepatuhan</t>
  </si>
  <si>
    <t>Direksi dan Dewan Komisaris memiliki kesadaran (awareness) dan pemahaman yang _ _ _ _ _ _ _ _mengenai Manajemen Risiko untuk Risiko Reputasi, sumber Risiko Reputasi dan tingkat Risiko Reputasi di Perusahaan</t>
  </si>
  <si>
    <t>Budaya Manajemen Risiko untuk Risiko Reputasi _ _ _ _ _ _</t>
  </si>
  <si>
    <t>Fungsi Manajemen Risiko untuk Risiko Reputasi _ _ _ _ _ _ _</t>
  </si>
  <si>
    <t>Strategi Manajemen Risiko untuk Risiko Reputasi _ _ _ _ _ _ _ dengan tingkat Risiko yang akan diambil (risk appetite) dan toleransi Risiko Reputasi</t>
  </si>
  <si>
    <t>Kebijakan, prosedur, dan penetapan limit untuk Risiko Reputasi _ _ _ _ _ _ _</t>
  </si>
  <si>
    <t>sangat memadai dan tersedia untuk seluruh area Manajemen Risiko untuk Risiko Reputasi sejalan dengan penerapan, dan dipahami dengan baik oleh pegawai</t>
  </si>
  <si>
    <t>memadai dan tersedia untuk seluruh area Manajemen Risiko untuk Risiko Reputasi sejalan dengan penerapan, dan dipahami dengan baik oleh pegawai meskipun terdapat kelemahan minor</t>
  </si>
  <si>
    <t>Proses Manajemen Risiko untuk Risiko Reputasi _ _ _ _ _ _ dalam mengidentifikasi, mengukur, mengedalikan, dan memantau Risiko Reputasi</t>
  </si>
  <si>
    <t>Sistem informasi Manajemen Risiko untuk Risiko Reputasi _ _ _ _ _ _</t>
  </si>
  <si>
    <t>sangat baik sehingga menghasilkan laporan Risiko Reputasi yang komprehensif dan terintegrasi kepada Direksi dan Dewan Komisaris</t>
  </si>
  <si>
    <t>baik, termasuk pelaporan Risiko Reputasi kepada Direksi dan Dewan Komisaris, tetapi terdapat kelemahan minor yang dapat diperbaiki dengan mudah</t>
  </si>
  <si>
    <t>SDM _ _ _ _ _ dari baik sisi kuantitas maupun kualitas pada fungsi Manajemen Risiko untuk Risiko Reputasi</t>
  </si>
  <si>
    <t>Sistem pengendalian internal _ _ _ _ _ dalam mendukung pelaksanaan Manajemen Risiko untuk Risiko Reputasi</t>
  </si>
  <si>
    <t>Bisnis Perusahaan memiliki karakteristik yang _ _ _ _ _ _ _ _</t>
  </si>
  <si>
    <t>sangat sederhana: produk dan/atau aktivitas tidak bervariasi, mekanisme bisnis sangat sederhana, volume transaksi rendah, struktur organisasi tidak kompleks, tidak terdapat aksi korporasi yang signifikan, dan penggunaan outsourcing sangat minimal</t>
  </si>
  <si>
    <t>kompleks: produk dan/atau aktivitas cukup bervariasi, mekanisme bisnis cukup kompleks, volume transaksi cukup tinggi, struktur organisasi cukup kompleks, aksi korporasi cukup signifikan, dan penggunaan outsourcing cukup signifikan</t>
  </si>
  <si>
    <t>kompleks: produk dan/atau aktivitas bervariasi, mekanisme bisnis kompleks, volume transaksi tinggi, struktur organisasi kompleks, aksi korporasi signifikan, dan penggunaan outsourcing signifikan</t>
  </si>
  <si>
    <t>sangat kompleks: produk dan/atau aktivitas sangat bervariasi, mekanisme bisnis sangat kompleks, volume transaksi sangat tinggi, struktur organisasi sangat kompleks, aksi korporasi signifikan, dan penggunaan outsourcing sangat tinggi</t>
  </si>
  <si>
    <t>Ancaman gangguan bisnis sebagai akibat dari kejadian eksternal _ _ _ _ _ _ _</t>
  </si>
  <si>
    <t>sangat rendah</t>
  </si>
  <si>
    <t>rendah</t>
  </si>
  <si>
    <t>cukup tinggi</t>
  </si>
  <si>
    <t>tinggi</t>
  </si>
  <si>
    <t>sangat tinggi</t>
  </si>
  <si>
    <t>Prosedur administrasi _ _ _ _ _ _ _ dipahami oleh pegawai administrasi, tingkat kesalahan atau penyimpangan prosedur administrasi _ _ _ _ _ _</t>
  </si>
  <si>
    <t>sangat mudah, sangat rendah</t>
  </si>
  <si>
    <t>mudah, rendah</t>
  </si>
  <si>
    <t>cukup sulit, cukup tinggi</t>
  </si>
  <si>
    <t>sulit, tinggi</t>
  </si>
  <si>
    <t>sangat sulit, sangat tinggi</t>
  </si>
  <si>
    <t>Frekuensi dan materialitas fraud internal dan eksternal _ _ _ _ _ _ _ dan kerugian yang disebabkan _ _ _ _ _ _</t>
  </si>
  <si>
    <t>sangat rendah, tidak signifikan</t>
  </si>
  <si>
    <t>rendah, kurang signifikan</t>
  </si>
  <si>
    <t>cukup tinggi, cukup signifikan</t>
  </si>
  <si>
    <t>tinggi, signifikan</t>
  </si>
  <si>
    <t>sangat tinggi, sangat signifikan</t>
  </si>
  <si>
    <t>Teknologi informasi _ _ _ _ _ _ perubahan signifikan dalam sistem teknologi informasi, kerentanan teknologi informasi terhadap gangguan atau serangan _ _ _ _ _ _, infrastruktur pendukung _ _ _ _ _ dalam mendukung bisnis Perusahaan</t>
  </si>
  <si>
    <t>sangat matang (mature) dan tidak terdapat; sangat rendah; sangat andal</t>
  </si>
  <si>
    <t>relatif sudah matang (mature) dan tidak terdapat; serangan rendah; andal</t>
  </si>
  <si>
    <t>menuju proses kematangan (mature) dan dapat terjadi; cukup rentan; cukup andal</t>
  </si>
  <si>
    <t>belum matang (mature) dan terjadi; rentan; kurang andal</t>
  </si>
  <si>
    <t>belum matang dan terjadi; sangat rentan; tidak andal</t>
  </si>
  <si>
    <t>SDM _ _ _ _ _ _, baik dari sisi kecukupan kuantitas maupun kualitas SDM dan data historis kerugian akibat kesalahan manusia _ _ _ _ _ _</t>
  </si>
  <si>
    <t>sangat memadai; tidak signifikan</t>
  </si>
  <si>
    <t>memadai; kurang signifikan</t>
  </si>
  <si>
    <t>cukup memadai; cukup signifikan</t>
  </si>
  <si>
    <t>kurang memadai; signifikan</t>
  </si>
  <si>
    <t>tidak memadai; sangat signifikan</t>
  </si>
  <si>
    <t>sederhana: produk dan/atau aktivitas relatif kurang bervariasi mekanisme bisnis sederhana, volume transaksi relatif rendah, struktur organisasi kurang kompleks, aksi korporasi kurang signifikan, dan penggunaan outsourcing minimal</t>
  </si>
  <si>
    <t>_ _ _ _ _ produk dan/atau aktivitas Perusahaan yang belum diatur dalam ketentuan perundangundangan atau terdapat produk dan/atau aktivtias yang belum diatur dalam ketentuan perundang undangan dengan jumlah yang _ _ _ _</t>
  </si>
  <si>
    <t>tidak terdapat; tidak signifikan</t>
  </si>
  <si>
    <t>terdapat; kurang signifikan</t>
  </si>
  <si>
    <t>terdapat; cukup signifikan</t>
  </si>
  <si>
    <t>terdapat; signifikan</t>
  </si>
  <si>
    <t>terdapat; sangat signifikan</t>
  </si>
  <si>
    <t xml:space="preserve">Perjanjian yang dibuat oleh Perusahaan _ _ _ _ _ _ </t>
  </si>
  <si>
    <t>_ _ _ _ _ proses litigasi dan/atau terdapat proses litigasi yang terjadi pada Perusahaan tetapi frekuensi dan/atau dampak finansial gugatannya _ _ _ _ _ _</t>
  </si>
  <si>
    <t>tidak terdapat; tidak signifikan mengganggu kondisi keuangan Perusahaan serta tidak berdampak besar terhadap reputasi Perusahaan</t>
  </si>
  <si>
    <t>terdapat; kurang signifikan mengganggu kondisi keuangan Perusahaan serta kurang berdampak besar terhadap reputasi Perusahaan</t>
  </si>
  <si>
    <t>terdapat; cukup signifikan tetapi kurang mengganggu kondisi keuangan Perusahaan meskipun memiliki kemungkinan munculnya Risiko Reputasi bagi Perusahaan</t>
  </si>
  <si>
    <t>terdapat; signifikan sehingga apabila Perusahaan mengalami kekalahan, ganti rugi atas gugatan tersebut dapat mengganggu kondisi keuangan Perusahaan serta berdampak besar terhadap reputasi Perusahaan</t>
  </si>
  <si>
    <t>terdapat; sangat signifikan sehingga apabila Perusahaan dikalahkan dalam putusan pengadilan, kondisi tersebut dapat memengaruhi kondisi usaha Perusahaan secara signifikan</t>
  </si>
  <si>
    <t>_ _ _ _ _ pelanggaran ketentuan peraturan perundangundangan _ _ _ _ _</t>
  </si>
  <si>
    <t>tidak terdapat;</t>
  </si>
  <si>
    <t>terdapat; yang relatif minor dan dapat segera diperbaiki oleh Perusahaan (kurang signifikan)</t>
  </si>
  <si>
    <t>terdapat; yang cukup signifikan dan membutuhkan perhatian manajemen</t>
  </si>
  <si>
    <t>terdapat; yang signifikan dan membutuhkan tindakan perbaikan segera</t>
  </si>
  <si>
    <t>terdapat; yang sangat signifikan dan memerlukan perbaikan segera</t>
  </si>
  <si>
    <t>Rekam jejak kepatuhan Perusahaan selama ini _ _ _ _ _ _</t>
  </si>
  <si>
    <t>kurang baik</t>
  </si>
  <si>
    <t>buruk</t>
  </si>
  <si>
    <t>sangat buruk</t>
  </si>
  <si>
    <t>Kode etik dan standar bisnis _ _ _ _ _</t>
  </si>
  <si>
    <t>sudah diterapkan</t>
  </si>
  <si>
    <t>sudah diterapkan hampir seluruhnya (terdapat pelanggaran yang kurang signifikan)</t>
  </si>
  <si>
    <t>terdapat pelanggaran yang cukup signifikan</t>
  </si>
  <si>
    <t>terdapat pelanggaran yang signifikan</t>
  </si>
  <si>
    <t>terdapat pelanggaran yang sangat signifikan</t>
  </si>
  <si>
    <t>secara umum tidak terdapat; bahkan diharapkan pengurus, pemegang saham Perusahaan, dan perusahaan terkait dapat memberikan pengaruh sangat positif terhadap reputasi Perusahaan</t>
  </si>
  <si>
    <t>terdapat; namun skala pengaruhnya kecil (kurang signifikan) dan dapat dimitigasi dengan baik</t>
  </si>
  <si>
    <t>_ _ _ _ _ pengaruh reputasi negatif dari pengurus, pemegang saham Perusahaan, dan perusahaan terkait, _ _ _ _ _ _ _</t>
  </si>
  <si>
    <t>terdapat;  dengan skala pengaruh cukup signifikan namun masih dapat dikendalikan</t>
  </si>
  <si>
    <t>terdapat; dengan skala pengaruh yang signifikan dan memerlukan perhatian khusus manajemen</t>
  </si>
  <si>
    <t>terdapat; dengan skala pengaruh yang sangat signifikan dan memerlukan tindak lanjut dan manajemen dengan segera</t>
  </si>
  <si>
    <t xml:space="preserve">Pelanggaran atau potensi pelanggaran _ _ _ _ _ _ </t>
  </si>
  <si>
    <t>sangat minim (tidak signifikan) atas etika bisnis, Perusahaan memiliki reputasi sebagai Perusahaan yang sangat menjunjung tinggi etika bisnis</t>
  </si>
  <si>
    <t>kurang signifikan atas etika bisnis, Perusahaan memiliki reputasi sebagai Perusahaan yang menjunjung tinggi etika bisnis</t>
  </si>
  <si>
    <t>terjadi dan skala pengaruhnya cukup signifikan dan memerlukan perhatian manajemen</t>
  </si>
  <si>
    <t>terjadi dengan skala sangat signifikan dan memerlukan tindak lanjut dan manajemen dengan segera</t>
  </si>
  <si>
    <t>terjadi dengan skala pengaruh signifikan dan memerlukan perhatian secara khusus</t>
  </si>
  <si>
    <t>Produk dan/atau aktivitas Perusahaan _ _ _ _ _ _ _</t>
  </si>
  <si>
    <t>sederhana dan mudah dipahami oleh konsumen</t>
  </si>
  <si>
    <t>kurang sederhana, namun relatif tidak membutuhkan pemahaman khusus konsumen</t>
  </si>
  <si>
    <t>cukup kompleks, sehingga pada tingkat tertentu memerlukan pemahaman khusus konsumen</t>
  </si>
  <si>
    <t>kompleks sehingga memerlukan pemahaman khusus konsumen</t>
  </si>
  <si>
    <t>sangat kompleks yang sangat memerlukan pemahaman khusus konsumen</t>
  </si>
  <si>
    <t>Jumlah dan nilai kerja sama bisnis yang dilakukan dengan mitra bisnis _ _ _ _ _ _</t>
  </si>
  <si>
    <t>tidak signifikan</t>
  </si>
  <si>
    <t>kurang signifikan</t>
  </si>
  <si>
    <t>cukup signifikan</t>
  </si>
  <si>
    <t>signifikan</t>
  </si>
  <si>
    <t>sangat signifikan</t>
  </si>
  <si>
    <t>Frekuensi, sifat, dan ruang lingkup pemberitaan negatif terhadap perusahaan _ _ _ _ _ _</t>
  </si>
  <si>
    <t>Frekuensi dan substansi penyampaian keluhan konsumen _ _ _ _ _ _ _</t>
  </si>
  <si>
    <t>tidak material</t>
  </si>
  <si>
    <t>kurang material</t>
  </si>
  <si>
    <t>cukup material</t>
  </si>
  <si>
    <t>material</t>
  </si>
  <si>
    <t>sangat material</t>
  </si>
  <si>
    <t>Risiko Hukum</t>
  </si>
  <si>
    <t>Risiko Kepatuhan</t>
  </si>
  <si>
    <t>Risiko Reputasi</t>
  </si>
  <si>
    <t>Ukuran dan struktur organisasi Perusahaan</t>
  </si>
  <si>
    <t>Kompleksitas proses bisnis dan keragaman produk/jasa</t>
  </si>
  <si>
    <t>Aksi korporasi (corporate action) dan pengembangan bisnis baru</t>
  </si>
  <si>
    <t>Penggunaan jasa pihak ketiga (outsourcing dan pembawa bisnis)</t>
  </si>
  <si>
    <t>Perubahan pola kerja yang signifikan</t>
  </si>
  <si>
    <t>Riwayat dari kegagalan proses transaksi atau proses manajemen.</t>
  </si>
  <si>
    <t>Penerapan manajemen SDM</t>
  </si>
  <si>
    <t>Kegagalan karena faktor manusia (human error)</t>
  </si>
  <si>
    <t>Realisasi biaya pendidikan dan pelatihan terhadap anggaran</t>
  </si>
  <si>
    <t>Realisasi biaya pendidikan dan pelatihan terhadap biaya pegawai dan pengurus</t>
  </si>
  <si>
    <t>Kompleksitas sistem teknologi informasi</t>
  </si>
  <si>
    <t>Perubahan dalam sistem teknologi informasi</t>
  </si>
  <si>
    <t>Kemapanan sistem teknologi informasi</t>
  </si>
  <si>
    <t>Keandalan sistem informasi, termasuk infrastruktur pendukungnya, terhadap ancaman dan serangan teknologi informasi</t>
  </si>
  <si>
    <t>Kesesuaian sistem teknologi informasi dengan kegiatan Perusahaan</t>
  </si>
  <si>
    <t>Kegagalan sistem teknologi informasi</t>
  </si>
  <si>
    <t>Riwayat kecurangan (fraud) internal</t>
  </si>
  <si>
    <t>Riwayat kecurangan (fraud) eksternal.</t>
  </si>
  <si>
    <t>Frekuensi dan materialitas kejadian eksternal</t>
  </si>
  <si>
    <t>Lokasi dan kondisi geografis Perusahaan</t>
  </si>
  <si>
    <t>Tingkat kesalahan/penyimpangan prosedur administrasi</t>
  </si>
  <si>
    <t>Prosedur administrasi yang digunakan oleh Perusahaan</t>
  </si>
  <si>
    <t>Jumlah dan nilai nominal dari total produk atau aktivitas Perusahaan yang belum diatur oleh peraturan perundangundangan secara jelas dan produk asuransi/reasuransi yang diperantarai atau yang dinilai risiko/kerugiannya tersebut cenderung memiliki tingkat kompleksitas yang tinggi, dibandingkan dengan total pendapatan Perusahaan</t>
  </si>
  <si>
    <t>Penggunaan standar perjanjian yang belum sesuai peraturan perundangundangan atau best practice dibandingkan dengan total nilai kontrak</t>
  </si>
  <si>
    <t>Tidak terpenuhinya syarat sahnya perjanjian</t>
  </si>
  <si>
    <t>Terdapat kelemahan klausula perjanjian dan/atau tidak terpenuhinya persyaratan yang telah disepakati</t>
  </si>
  <si>
    <t>Pemahaman para pihak terkait dengan perjanjian, terutama dalam suatu transaksi yang kompleks dan menggunakan istilah yang sulit dipahami atau tidak lazim bagi masyarakat umum</t>
  </si>
  <si>
    <t>Keberadaan dokumen pendukung terkait perjanjian yang dilakukan oleh Perusahaan dengan pihak ketiga</t>
  </si>
  <si>
    <t>Pengkinian dan reviu perjanjian secara berkala termasuk dampak dari perjanjian dimaksud</t>
  </si>
  <si>
    <t>Tidak dapat dilaksanakannya suatu perjanjian baik untuk keseluruhan maupun sebagian</t>
  </si>
  <si>
    <t>Penggunaan pilihan hukum dan yurisdiksi hukum dalam penyelesaian sengketa</t>
  </si>
  <si>
    <t>Riwayat tuntutan hukum kepada Perusahaan</t>
  </si>
  <si>
    <t>Besarnya nominal gugatan dan estimasi kerugian yang mungkin dialami oleh Perusahaan akibat dari tuntutan hukum</t>
  </si>
  <si>
    <t>Besarnya kerugian yang dialami oleh Perusahaan karena suatu putusan dari pengadilan yang telah memiliki kekuatan hukum tetap dibandingkan dengan modal Perusahaan</t>
  </si>
  <si>
    <t>Dasar dari gugatan yang terjadi dan pihak yang tergugat atau menggugat Perusahaan dalam suatu gugatan yang diajukan serta tindakan dari manajemen atas suatu gugatan yang diajukan</t>
  </si>
  <si>
    <t>Kemungkinan timbulnya gugatan yang serupa karena adanya standar perjanjian yang sama dan estimasi total kerugian yang mungkin timbul dibandingkan dengan modal Perusahaan</t>
  </si>
  <si>
    <t>Jenis pelanggaran atau ketidakpatuhan yang dilakukan oleh Perusahaan</t>
  </si>
  <si>
    <t>Jumlah sanksi administrasi berupa denda yang dikenakan kepada Perusahaan dari Otoritas Jasa Keuangan</t>
  </si>
  <si>
    <t>Jumlah sanksi administrasi berupa sanksi peringatan atau teguran yang dikenakan kepada Perusahaan</t>
  </si>
  <si>
    <t>Signifikansi pelanggaran</t>
  </si>
  <si>
    <t>Perilaku yang mendasari pelanggaran</t>
  </si>
  <si>
    <t>Jenis dan frekuensi pelanggaran yang sama yang ditemukan setiap tahunnya dalam 3 (tiga) tahun terakhir</t>
  </si>
  <si>
    <t>Signifikansi pelanggaran yang sama</t>
  </si>
  <si>
    <t>Frekuensi pelanggaran atas ketentuan karena tidak sesuai dengan ketentuan peraturan perundang-undangan atau standar yang berlaku umum</t>
  </si>
  <si>
    <t>Tindak lanjut atas pelanggaran ketentuan peraturan perundang-undangan termasuk pemenuhan atas rencana tindak (action plan) yang disampaikan kepada Otoritas Jasa Keuangan dan otoritas lainnya</t>
  </si>
  <si>
    <t>Kredibilitas pengurus dan pemilik</t>
  </si>
  <si>
    <t>Kejadian reputasi (reputational event) pada pengurus dan pemilik</t>
  </si>
  <si>
    <t>Kerjasama bisnis dengan pemangku kepentingan lain</t>
  </si>
  <si>
    <t>Transparansi informasi keuangan</t>
  </si>
  <si>
    <t>Transparansi pemberian jasa keperantaraan/konsultasi</t>
  </si>
  <si>
    <t>Pemberian jasa keperantaraan/konsultasi tanpa izin Otoritas Jasa Keuangan</t>
  </si>
  <si>
    <t>Perusahaan melakukan penahanan premi</t>
  </si>
  <si>
    <t>Jumlah dan tingkat penggunaan konsumen atas produk dan/atau jasa Perusahaan yang kompleks</t>
  </si>
  <si>
    <t>Jumlah dan materialitas kerja sama Perusahaan dengan mitra bisnis</t>
  </si>
  <si>
    <t>Frekuensi dan materialitas pemberitaan negatif tentang Perusahaan dalam 1 (satu) tahun</t>
  </si>
  <si>
    <t>Jenis media dan ruang lingkup pemberitaan</t>
  </si>
  <si>
    <t>Frekuensi keluhan konsumen</t>
  </si>
  <si>
    <t>Frekuensi penanganan penyelesaian pengaduan konsumen</t>
  </si>
  <si>
    <t>Materialitas keluhan konsumen</t>
  </si>
  <si>
    <t>Peringkat</t>
  </si>
  <si>
    <t>Count of Peringkat</t>
  </si>
  <si>
    <t>KPMR Strategis</t>
  </si>
  <si>
    <t>KPMR Operasional</t>
  </si>
  <si>
    <t>KPMR Hukum</t>
  </si>
  <si>
    <t>KPMR Kepatuhan</t>
  </si>
  <si>
    <t>KPMR Reputasi</t>
  </si>
  <si>
    <t>Inherent Reputasi</t>
  </si>
  <si>
    <t>Inherent Kepatuhan</t>
  </si>
  <si>
    <t>Inherent Hukum</t>
  </si>
  <si>
    <t>Inherent Operasional</t>
  </si>
  <si>
    <t>Inherent Strategis</t>
  </si>
  <si>
    <t>Skor Komposit</t>
  </si>
  <si>
    <t>Komposit Perusahaan</t>
  </si>
  <si>
    <t>Peringkat Inherent</t>
  </si>
  <si>
    <t>Peringkat KPMR</t>
  </si>
  <si>
    <t>Kategori</t>
  </si>
  <si>
    <t>Indikator Inherent</t>
  </si>
  <si>
    <t>1 (Kuat/Rendah)</t>
  </si>
  <si>
    <t>2 (Cukup Kuat/Sedang Rendah)</t>
  </si>
  <si>
    <t>3 (Cukup/Sedang)</t>
  </si>
  <si>
    <t>4 (Agak Lemah/Sedang Tinggi)</t>
  </si>
  <si>
    <t>5 (Lemah/Tinggi)</t>
  </si>
  <si>
    <t>(Multiple Items)</t>
  </si>
  <si>
    <t>Rata-rata Inherent</t>
  </si>
  <si>
    <t>Keterangan/Indikator</t>
  </si>
  <si>
    <t>III.A.1.1.a</t>
  </si>
  <si>
    <t>III.A.1.1.b</t>
  </si>
  <si>
    <t>III.A.1.1.c</t>
  </si>
  <si>
    <t>III.A.1.1.d</t>
  </si>
  <si>
    <t>III.A.1.1.e</t>
  </si>
  <si>
    <t>III.A.1.2.a</t>
  </si>
  <si>
    <t>III.A.1.3.a</t>
  </si>
  <si>
    <t>III.A.1.3.b</t>
  </si>
  <si>
    <t>III.A.1.3.c</t>
  </si>
  <si>
    <t>III.A.1.3.d</t>
  </si>
  <si>
    <t>III.A.1.3.e</t>
  </si>
  <si>
    <t>III.A.1.4.a</t>
  </si>
  <si>
    <t>III.A.1.4.b</t>
  </si>
  <si>
    <t>III.A.2.a</t>
  </si>
  <si>
    <t>III.A.2.b</t>
  </si>
  <si>
    <t>III.A.2.c</t>
  </si>
  <si>
    <t>III.A.2.d</t>
  </si>
  <si>
    <t>III.A.2.e</t>
  </si>
  <si>
    <t>III.A.3.a</t>
  </si>
  <si>
    <t>III.A.3.b</t>
  </si>
  <si>
    <t>III.A.3.c</t>
  </si>
  <si>
    <t>III.A.3.d</t>
  </si>
  <si>
    <t>III.A.3.e</t>
  </si>
  <si>
    <t>III.A.3.f</t>
  </si>
  <si>
    <t>III.A.3.g</t>
  </si>
  <si>
    <t>III.A.3.h</t>
  </si>
  <si>
    <t>III.A.3.i</t>
  </si>
  <si>
    <t>III.A.3.j</t>
  </si>
  <si>
    <t>III.A.3.k</t>
  </si>
  <si>
    <t>III.A.3.l</t>
  </si>
  <si>
    <t>III.A.3.m</t>
  </si>
  <si>
    <t>III.A.3.n</t>
  </si>
  <si>
    <t>III.A.3.o</t>
  </si>
  <si>
    <t>tidak ada keunggulan kompetitif dan terdapat ancaman sangat signifikan dari kompetitor</t>
  </si>
  <si>
    <t>III.B.1.1.a</t>
  </si>
  <si>
    <t>III.B.1.1.b</t>
  </si>
  <si>
    <t>III.B.1.1.c</t>
  </si>
  <si>
    <t>III.B.1.1.d</t>
  </si>
  <si>
    <t>III.B.1.1.e</t>
  </si>
  <si>
    <t>III.B.1.1.f</t>
  </si>
  <si>
    <t>III.B.1.2.a</t>
  </si>
  <si>
    <t>III.B.1.2.b</t>
  </si>
  <si>
    <t>III.B.1.2.c</t>
  </si>
  <si>
    <t>III.B.1.2.d</t>
  </si>
  <si>
    <t>III.B.1.3.a</t>
  </si>
  <si>
    <t>III.B.1.3.b</t>
  </si>
  <si>
    <t>III.B.1.3.c</t>
  </si>
  <si>
    <t>III.B.1.3.d</t>
  </si>
  <si>
    <t>III.B.1.3.e</t>
  </si>
  <si>
    <t>III.B.1.3.f</t>
  </si>
  <si>
    <t>III.B.1.4.a</t>
  </si>
  <si>
    <t>III.B.1.4.b</t>
  </si>
  <si>
    <t>III.B.1.5.a</t>
  </si>
  <si>
    <t>III.B.1.5.b</t>
  </si>
  <si>
    <t>III.B.1.6.a</t>
  </si>
  <si>
    <t>III.B.1.6.b</t>
  </si>
  <si>
    <t>III.B.2.a</t>
  </si>
  <si>
    <t>III.B.2.b</t>
  </si>
  <si>
    <t>III.B.2.c</t>
  </si>
  <si>
    <t>III.B.2.d</t>
  </si>
  <si>
    <t>III.B.2.e</t>
  </si>
  <si>
    <t>III.B.2.f</t>
  </si>
  <si>
    <t>III.B.3.a</t>
  </si>
  <si>
    <t>III.B.3.b</t>
  </si>
  <si>
    <t>III.B.3.c</t>
  </si>
  <si>
    <t>III.B.3.d</t>
  </si>
  <si>
    <t>III.B.3.e</t>
  </si>
  <si>
    <t>III.B.3.f</t>
  </si>
  <si>
    <t>III.B.3.g</t>
  </si>
  <si>
    <t>III.B.3.h</t>
  </si>
  <si>
    <t>III.B.3.i</t>
  </si>
  <si>
    <t>III.B.3.j</t>
  </si>
  <si>
    <t>III.B.3.k</t>
  </si>
  <si>
    <t>III.B.3.l</t>
  </si>
  <si>
    <t>III.B.3.m</t>
  </si>
  <si>
    <t>III.B.3.n</t>
  </si>
  <si>
    <t>III.B.3.o</t>
  </si>
  <si>
    <t>III.B.3.p</t>
  </si>
  <si>
    <t>III.C.1.1.a</t>
  </si>
  <si>
    <t>III.C.1.1.b</t>
  </si>
  <si>
    <t>III.C.1.2.a</t>
  </si>
  <si>
    <t>III.C.1.2.b</t>
  </si>
  <si>
    <t>III.C.1.2.c</t>
  </si>
  <si>
    <t>III.C.1.2.d</t>
  </si>
  <si>
    <t>III.C.1.2.e</t>
  </si>
  <si>
    <t>III.C.1.3.a</t>
  </si>
  <si>
    <t>III.C.1.3.b</t>
  </si>
  <si>
    <t>III.C.1.3.c</t>
  </si>
  <si>
    <t>III.C.1.3.d</t>
  </si>
  <si>
    <t>III.C.1.3.e</t>
  </si>
  <si>
    <t>III.C.1.3.f</t>
  </si>
  <si>
    <t>III.C.1.3.g</t>
  </si>
  <si>
    <t>III.C.2.a</t>
  </si>
  <si>
    <t>III.C.2.b</t>
  </si>
  <si>
    <t>III.C.2.c</t>
  </si>
  <si>
    <t>III.C.3.a</t>
  </si>
  <si>
    <t>III.C.3.b</t>
  </si>
  <si>
    <t>III.C.3.c</t>
  </si>
  <si>
    <t>III.C.3.d</t>
  </si>
  <si>
    <t>III.C.3.e</t>
  </si>
  <si>
    <t>III.C.3.f</t>
  </si>
  <si>
    <t>III.C.3.g</t>
  </si>
  <si>
    <t>III.C.3.h</t>
  </si>
  <si>
    <t>III.C.3.i</t>
  </si>
  <si>
    <t>III.C.3.j</t>
  </si>
  <si>
    <t>III.C.3.k</t>
  </si>
  <si>
    <t>III.C.3.l</t>
  </si>
  <si>
    <t>III.C.3.m</t>
  </si>
  <si>
    <t>III.C.3.n</t>
  </si>
  <si>
    <t>III.C.3.o</t>
  </si>
  <si>
    <t>III.D.1.1.a</t>
  </si>
  <si>
    <t>III.D.1.1.b</t>
  </si>
  <si>
    <t>III.D.1.1.c</t>
  </si>
  <si>
    <t>III.D.1.1.d</t>
  </si>
  <si>
    <t>III.D.1.1.e</t>
  </si>
  <si>
    <t>III.D.1.2.a</t>
  </si>
  <si>
    <t>III.D.1.2.b</t>
  </si>
  <si>
    <t>III.D.1.3.a</t>
  </si>
  <si>
    <t>III.D.1.4.a</t>
  </si>
  <si>
    <t>III.D.2.a</t>
  </si>
  <si>
    <t>III.D.2.b</t>
  </si>
  <si>
    <t>III.D.2.c</t>
  </si>
  <si>
    <t>III.D.3.a</t>
  </si>
  <si>
    <t>III.D.3.b</t>
  </si>
  <si>
    <t>III.D.3.c</t>
  </si>
  <si>
    <t>III.D.3.d</t>
  </si>
  <si>
    <t>III.D.3.e</t>
  </si>
  <si>
    <t>III.D.3.f</t>
  </si>
  <si>
    <t>III.D.3.g</t>
  </si>
  <si>
    <t>III.D.3.h</t>
  </si>
  <si>
    <t>III.D.3.i</t>
  </si>
  <si>
    <t>III.D.3.j</t>
  </si>
  <si>
    <t>III.D.3.k</t>
  </si>
  <si>
    <t>III.D.3.l</t>
  </si>
  <si>
    <t>III.D.3.m</t>
  </si>
  <si>
    <t>III.D.3.n</t>
  </si>
  <si>
    <t>III.D.3.o</t>
  </si>
  <si>
    <t>III.E.1.1.a</t>
  </si>
  <si>
    <t>III.E.1.1.b</t>
  </si>
  <si>
    <t>III.E.1.2.a</t>
  </si>
  <si>
    <t>III.E.1.2.b</t>
  </si>
  <si>
    <t>III.E.1.2.c</t>
  </si>
  <si>
    <t>III.E.1.2.d</t>
  </si>
  <si>
    <t>III.E.1.2.e</t>
  </si>
  <si>
    <t>III.E.1.3.a</t>
  </si>
  <si>
    <t>III.E.1.3.b</t>
  </si>
  <si>
    <t>III.E.1.4.a</t>
  </si>
  <si>
    <t>III.E.1.4.b</t>
  </si>
  <si>
    <t>III.E.1.5.a</t>
  </si>
  <si>
    <t>III.E.1.5.b</t>
  </si>
  <si>
    <t>III.E.1.5.c</t>
  </si>
  <si>
    <t>III.E.2.a</t>
  </si>
  <si>
    <t>III.E.2.b</t>
  </si>
  <si>
    <t>III.E.2.c</t>
  </si>
  <si>
    <t>III.E.2.d</t>
  </si>
  <si>
    <t>III.E.2.e</t>
  </si>
  <si>
    <t>III.E.2.f</t>
  </si>
  <si>
    <t>III.E.3.a</t>
  </si>
  <si>
    <t>III.E.3.b</t>
  </si>
  <si>
    <t>III.E.3.c</t>
  </si>
  <si>
    <t>III.E.3.d</t>
  </si>
  <si>
    <t>III.E.3.e</t>
  </si>
  <si>
    <t>III.E.3.f</t>
  </si>
  <si>
    <t>III.E.3.g</t>
  </si>
  <si>
    <t>III.E.3.h</t>
  </si>
  <si>
    <t>III.E.3.i</t>
  </si>
  <si>
    <t>III.E.3.j</t>
  </si>
  <si>
    <t>III.E.3.k</t>
  </si>
  <si>
    <t>III.E.3.l</t>
  </si>
  <si>
    <t>III.E.3.m</t>
  </si>
  <si>
    <t>III.E.3.n</t>
  </si>
  <si>
    <t>III.E.3.o</t>
  </si>
  <si>
    <t>Jenis Risiko</t>
  </si>
  <si>
    <t>2 (Agak Kuat/Sedang Rendah)</t>
  </si>
  <si>
    <t>Profil Risiko Perusahaan yang termasuk dalam peringkat ini pada umumnya memiliki karakteristik antara lain sebagai berikut: a. dengan mempertimbangkan aktivitas bisnis yang dilakukan Perusahaan, kemungkinan kerugian yang dihadapi Perusahaan dari Risiko yang melekat (inherent risk) secara komposit tergolong sangat rendah selama periode waktu tertentu pada masa yang akan datang; dan b. KPMR secara komposit sangat memadai, dalam hal terdapat kelemahan minor, kelemahan tersebut dapat diabaikan.</t>
  </si>
  <si>
    <t>Profil Risiko Perusahaan yang termasuk dalam peringkat ini pada umumnya memiliki karakteristik antara lain sebagai berikut: a. dengan mempertimbangkan aktivitas bisnis yang dilakukan Perusahaan, kemungkinan kerugian yang dihadapi Perusahaan dari Risiko yang melekat (inherent risk) secara komposit tergolong rendah selama periode waktu tertentu pada masa yang akan datang; dan b. KPMR secara komposit memadai, dalam hal terdapat kelemahan minor, kelemahan tersebut perlu mendapatkan perhatian manajemen.</t>
  </si>
  <si>
    <t>Profil Risiko Perusahaan yang termasuk dalam peringkat ini pada umumnya memiliki karakteristik antara lain sebagai berikut: a. dengan mempertimbangkan aktivitas bisnis yang dilakukan Perusahaan, kemungkinan kerugian yang dihadapi Perusahaan dari Risiko yang melekat (inherent risk) secara komposit tergolong cukup tinggi selama periode waktu tertentu pada masa yang akan datang; dan b. KPMR secara komposit cukup memadai, meskipun persyaratan minimum terpenuhi, terdapat beberapa kelemahan yang membutuhkan perhatian manajemen dan perbaikan.</t>
  </si>
  <si>
    <t>Profil Risiko Perusahaan yang termasuk dalam peringkat ini pada umumnya memiliki karakteristik antara lain sebagai berikut: a. dengan mempertimbangkan aktivitas bisnis yang dilakukan Perusahaan, kemungkinan kerugian yang dihadapi Perusahaan dari Risiko yang melekat (inherent risk) secara komposit tergolong tinggi selama periode waktu tertentu pada masa yang akan datang; dan b. KPMR secara komposit kurang memadai, terdapat kelemahan signifikan pada berbagai aspek Manajemen Risiko yang membutuhkan tindakan korektif segera.</t>
  </si>
  <si>
    <t>Profil Risiko Perusahaan yang termasuk dalam peringkat ini pada umumnya memiliki karakteristik antara lain sebagai berikut: a. dengan mempertimbangkan aktivitas bisnis yang dilakukan Perusahaan, kemungkinan kerugian yang dihadapi Perusahaan dari Risiko yang melekat (inherent risk) secara komposit tergolong sangat tinggi selama periode waktu tertentu pada masa yang akan datang; dan b. KPMR secara komposit tidak memadai, terdapat kelemahan signifikan pada berbagai aspek Manajemen Risiko yang tindakan penyelesaiannya diluar kemampuan manajemen.</t>
  </si>
  <si>
    <t>Analisis:</t>
  </si>
  <si>
    <t>Nama Perusahaan</t>
  </si>
  <si>
    <t>Alamat</t>
  </si>
  <si>
    <t>No Telp</t>
  </si>
  <si>
    <t>: PT Bina Dana Sejahtera</t>
  </si>
  <si>
    <t>a. Risiko Strategis</t>
  </si>
  <si>
    <t>b. Risiko Operasional</t>
  </si>
  <si>
    <t>c. Risiko Hukum</t>
  </si>
  <si>
    <t>d. Risiko Kepatuhan</t>
  </si>
  <si>
    <t>e. Risiko Reputasi</t>
  </si>
  <si>
    <t>f. Risiko Komposit Perusahaan</t>
  </si>
  <si>
    <t>Analisis</t>
  </si>
  <si>
    <t>1. Tingkat Risiko</t>
  </si>
  <si>
    <t>2. Penjelasan Risiko</t>
  </si>
  <si>
    <t>Period</t>
  </si>
  <si>
    <t>: 021 - 2232 2032</t>
  </si>
  <si>
    <t xml:space="preserve">: </t>
  </si>
  <si>
    <t>PT Bina Dana Sejahtera</t>
  </si>
  <si>
    <t xml:space="preserve"> </t>
  </si>
  <si>
    <t>Risiko Komposit</t>
  </si>
  <si>
    <t>Insurance Brokers and Consultants</t>
  </si>
  <si>
    <t>B.</t>
  </si>
  <si>
    <t>TABEL PENETAPAN PERINGKAT PROFIL RISIKO KOMPOSIT</t>
  </si>
  <si>
    <t>Menyetujui</t>
  </si>
  <si>
    <t>Direktur Utama</t>
  </si>
  <si>
    <t>Komisaris Utama</t>
  </si>
  <si>
    <t>ANALISIS PROFIL RISIKO</t>
  </si>
  <si>
    <t>C.</t>
  </si>
  <si>
    <t>PROFIL RISIKO PERUSAHAAN</t>
  </si>
  <si>
    <t>A.</t>
  </si>
  <si>
    <t>: Sentra Dana Office Jl. Seulawah Raya No.B, RT.12/RW.7, Cipinang Melayu, Kec. Makasar, Kota Jakarta Timur, Daerah Khusus Ibukota Jakarta 13620</t>
  </si>
  <si>
    <t>(All)</t>
  </si>
  <si>
    <t>Jan-2022</t>
  </si>
  <si>
    <t>Penetapan tujuan strategis perlu mempertimbangkan faktor internal dan eksternal bisnis Perusahaan
Faktor internal antara lain: 1. visi, misi, dan arah bisnis yang ingin dicapai Perusahaan; 2. kultur organisasi, terutama dalam hal penetapan tujuan strategis mensyaratkan perubahan struktur organisasi dan penyesuaian proses bisnis; 3. faktor kemampuan organisasi yang mencakup antara lain SDM, infrastruktur, jaringan kantor, dan sistem informasi manajemen; dan 4. tingkat toleransi Risiko (risk tolerance) yaitu tingkat kemampuan keuangan Perusahaan dalam menyerap Risiko
Faktor eksternal perusahaan, antara lain: 1. kondisi makroekonomi; 2. perkembangan teknologi; 3. tingkat persaingan usaha; dan 4. perkembangan peraturan dan ketentuan yang ada</t>
  </si>
  <si>
    <t>Tingkat deviasi antara sasaran strategis dengan hasil pencapaian Perusahaan
Penilaian tingkat deviasi antara sasaran strategis dengan hasil pencapaian Perusahaan secara kuantitatif dapat dinilai antara lain dengan:
1. Perbandingan realisasi terhadap target: a. Pendapatan jasa keperantaraan; b. Pendapatan jasa konsultasi; c. Pendapatan jasa penanganan klaim; d. Hasil investasi; dan e. Laba usaha.
2. Realisasi pengembangan lini usaha yang baru terhadap target dan realisasi pengembangan jaringan kantor terhadap target</t>
  </si>
  <si>
    <t>(blank)</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</si>
</sst>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mm\ yyyy"/>
    <numFmt numFmtId="165" formatCode="[$-421]dd\ mmmm\ yyyy;@"/>
    <numFmt numFmtId="166" formatCode="mmm\-yyyy"/>
  </numFmts>
  <fonts count="15" x14ac:knownFonts="1">
    <font>
      <sz val="11"/>
      <color theme="1"/>
      <name val="Calibri"/>
      <family val="2"/>
      <scheme val="minor"/>
    </font>
    <font>
      <i/>
      <sz val="11"/>
      <color theme="1"/>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b/>
      <sz val="20"/>
      <color theme="1"/>
      <name val="Calibri"/>
      <family val="2"/>
      <scheme val="minor"/>
    </font>
    <font>
      <u/>
      <sz val="11"/>
      <color theme="10"/>
      <name val="Calibri"/>
      <family val="2"/>
      <scheme val="minor"/>
    </font>
    <font>
      <b/>
      <sz val="18"/>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22"/>
      <color theme="9"/>
      <name val="Century Gothic"/>
      <family val="2"/>
    </font>
    <font>
      <b/>
      <sz val="11"/>
      <color theme="2" tint="-0.499984740745262"/>
      <name val="Century Gothic"/>
      <family val="2"/>
    </font>
    <font>
      <b/>
      <sz val="13"/>
      <color theme="1"/>
      <name val="Calibri"/>
      <family val="2"/>
      <scheme val="minor"/>
    </font>
    <font>
      <b/>
      <u/>
      <sz val="11"/>
      <color theme="1"/>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499984740745262"/>
        <bgColor indexed="64"/>
      </patternFill>
    </fill>
  </fills>
  <borders count="12">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0" fontId="6" fillId="0" borderId="0" applyNumberFormat="0" applyFill="0" applyBorder="0" applyAlignment="0" applyProtection="0"/>
  </cellStyleXfs>
  <cellXfs count="90">
    <xf numFmtId="0" fontId="0" fillId="0" borderId="0" xfId="0"/>
    <xf numFmtId="0" fontId="0" fillId="0" borderId="0" xfId="0" applyAlignment="1">
      <alignment wrapText="1"/>
    </xf>
    <xf numFmtId="0" fontId="0" fillId="0" borderId="0" xfId="0" applyAlignment="1"/>
    <xf numFmtId="14" fontId="0" fillId="0" borderId="0" xfId="0" applyNumberFormat="1"/>
    <xf numFmtId="164" fontId="0" fillId="0" borderId="0" xfId="0" applyNumberFormat="1"/>
    <xf numFmtId="164" fontId="0" fillId="0" borderId="0" xfId="0" applyNumberFormat="1" applyAlignment="1"/>
    <xf numFmtId="0" fontId="0" fillId="0" borderId="0" xfId="0" applyBorder="1"/>
    <xf numFmtId="0" fontId="0" fillId="0" borderId="0" xfId="0" pivotButton="1"/>
    <xf numFmtId="0" fontId="0" fillId="0" borderId="0" xfId="0" applyNumberFormat="1"/>
    <xf numFmtId="0" fontId="1" fillId="0" borderId="0" xfId="0" applyFont="1"/>
    <xf numFmtId="0" fontId="2" fillId="0" borderId="0" xfId="0" applyFont="1"/>
    <xf numFmtId="2" fontId="0" fillId="0" borderId="0" xfId="0" applyNumberFormat="1"/>
    <xf numFmtId="0" fontId="3" fillId="0" borderId="0" xfId="0" applyFont="1"/>
    <xf numFmtId="0" fontId="0" fillId="0" borderId="0" xfId="0" applyAlignment="1">
      <alignment horizontal="left"/>
    </xf>
    <xf numFmtId="1" fontId="0" fillId="0" borderId="0" xfId="0" applyNumberFormat="1" applyBorder="1"/>
    <xf numFmtId="2" fontId="3" fillId="0" borderId="0" xfId="0" applyNumberFormat="1" applyFont="1"/>
    <xf numFmtId="0" fontId="0" fillId="3" borderId="1" xfId="0" applyFont="1" applyFill="1" applyBorder="1"/>
    <xf numFmtId="0" fontId="0" fillId="3" borderId="1" xfId="0" applyFont="1" applyFill="1" applyBorder="1" applyAlignment="1">
      <alignment wrapText="1"/>
    </xf>
    <xf numFmtId="0" fontId="0" fillId="0" borderId="1" xfId="0" applyFont="1" applyBorder="1" applyAlignment="1">
      <alignment wrapText="1"/>
    </xf>
    <xf numFmtId="0" fontId="0" fillId="0" borderId="1" xfId="0" applyFont="1" applyBorder="1"/>
    <xf numFmtId="0" fontId="0" fillId="3" borderId="3" xfId="0" applyFont="1" applyFill="1" applyBorder="1"/>
    <xf numFmtId="0" fontId="0" fillId="3" borderId="3" xfId="0" applyFont="1" applyFill="1" applyBorder="1" applyAlignment="1">
      <alignment wrapText="1"/>
    </xf>
    <xf numFmtId="0" fontId="0" fillId="3"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3" borderId="3" xfId="0" applyFont="1" applyFill="1" applyBorder="1" applyAlignment="1">
      <alignment horizontal="center" vertical="center" wrapText="1"/>
    </xf>
    <xf numFmtId="0" fontId="0" fillId="3" borderId="1" xfId="0" applyFont="1" applyFill="1" applyBorder="1" applyAlignment="1">
      <alignment horizontal="justify" vertical="center" wrapText="1"/>
    </xf>
    <xf numFmtId="0" fontId="0" fillId="0" borderId="1" xfId="0" applyFont="1" applyBorder="1" applyAlignment="1">
      <alignment horizontal="justify" vertical="center" wrapText="1"/>
    </xf>
    <xf numFmtId="0" fontId="0" fillId="3" borderId="3" xfId="0" applyFont="1" applyFill="1" applyBorder="1" applyAlignment="1">
      <alignment horizontal="justify" vertical="center" wrapText="1"/>
    </xf>
    <xf numFmtId="0" fontId="4" fillId="2" borderId="2" xfId="0" applyFont="1" applyFill="1" applyBorder="1" applyAlignment="1">
      <alignment horizontal="center" vertical="top"/>
    </xf>
    <xf numFmtId="0" fontId="4" fillId="2" borderId="2" xfId="0" applyFont="1" applyFill="1" applyBorder="1" applyAlignment="1">
      <alignment vertical="top"/>
    </xf>
    <xf numFmtId="0" fontId="4" fillId="2" borderId="2" xfId="0" applyFont="1" applyFill="1" applyBorder="1" applyAlignment="1">
      <alignment horizontal="center" vertical="top" wrapText="1"/>
    </xf>
    <xf numFmtId="0" fontId="6" fillId="0" borderId="0" xfId="1"/>
    <xf numFmtId="14" fontId="0" fillId="0" borderId="0" xfId="0" applyNumberFormat="1" applyAlignment="1">
      <alignment wrapText="1"/>
    </xf>
    <xf numFmtId="14" fontId="0" fillId="3" borderId="1" xfId="0" applyNumberFormat="1" applyFont="1" applyFill="1" applyBorder="1" applyAlignment="1">
      <alignment wrapText="1"/>
    </xf>
    <xf numFmtId="0" fontId="0" fillId="0" borderId="0" xfId="0" applyProtection="1"/>
    <xf numFmtId="0" fontId="0" fillId="0" borderId="0" xfId="0" applyAlignment="1" applyProtection="1">
      <alignment wrapText="1"/>
    </xf>
    <xf numFmtId="0" fontId="7" fillId="3" borderId="1" xfId="0" applyFont="1" applyFill="1" applyBorder="1" applyAlignment="1">
      <alignment horizontal="center" vertical="center" wrapText="1"/>
    </xf>
    <xf numFmtId="2" fontId="0" fillId="0" borderId="0" xfId="0" applyNumberFormat="1" applyFont="1" applyAlignment="1">
      <alignment horizontal="center" vertical="center"/>
    </xf>
    <xf numFmtId="2" fontId="0" fillId="0" borderId="0" xfId="0" applyNumberFormat="1"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vertical="top" wrapText="1"/>
    </xf>
    <xf numFmtId="0" fontId="3" fillId="0" borderId="0" xfId="0" applyFont="1" applyAlignment="1">
      <alignment wrapText="1"/>
    </xf>
    <xf numFmtId="0" fontId="8" fillId="0" borderId="0" xfId="0" applyFont="1"/>
    <xf numFmtId="0" fontId="0" fillId="0" borderId="4" xfId="0" applyBorder="1"/>
    <xf numFmtId="0" fontId="0" fillId="0" borderId="5" xfId="0" applyBorder="1"/>
    <xf numFmtId="0" fontId="0" fillId="0" borderId="6" xfId="0" applyBorder="1"/>
    <xf numFmtId="0" fontId="0" fillId="0" borderId="7" xfId="0" applyBorder="1" applyAlignment="1">
      <alignment vertical="top" wrapText="1"/>
    </xf>
    <xf numFmtId="0" fontId="0" fillId="0" borderId="0" xfId="0" applyAlignment="1">
      <alignment horizontal="center"/>
    </xf>
    <xf numFmtId="0" fontId="0" fillId="0" borderId="0" xfId="0" applyAlignment="1">
      <alignment vertical="center"/>
    </xf>
    <xf numFmtId="0" fontId="0" fillId="0" borderId="0" xfId="0" applyAlignment="1">
      <alignment horizontal="center" vertical="center"/>
    </xf>
    <xf numFmtId="14" fontId="10" fillId="0" borderId="0" xfId="0" applyNumberFormat="1" applyFont="1"/>
    <xf numFmtId="0" fontId="0" fillId="0" borderId="0" xfId="0" applyAlignment="1">
      <alignment vertical="top"/>
    </xf>
    <xf numFmtId="0" fontId="0" fillId="0" borderId="0" xfId="0" applyFill="1"/>
    <xf numFmtId="2" fontId="0" fillId="4" borderId="0" xfId="0" applyNumberFormat="1" applyFont="1" applyFill="1" applyBorder="1" applyAlignment="1">
      <alignment horizontal="center" vertical="center"/>
    </xf>
    <xf numFmtId="0" fontId="3" fillId="0" borderId="0" xfId="0" applyFont="1" applyAlignment="1">
      <alignment horizontal="center" vertical="center"/>
    </xf>
    <xf numFmtId="0" fontId="0" fillId="0" borderId="5" xfId="0" applyBorder="1" applyAlignment="1">
      <alignment vertical="top" wrapText="1"/>
    </xf>
    <xf numFmtId="0" fontId="0" fillId="0" borderId="10" xfId="0" applyBorder="1" applyAlignment="1">
      <alignment vertical="center"/>
    </xf>
    <xf numFmtId="0" fontId="0" fillId="0" borderId="11" xfId="0" applyBorder="1"/>
    <xf numFmtId="0" fontId="13" fillId="0" borderId="0" xfId="0" applyFont="1" applyAlignment="1">
      <alignment horizontal="center" vertical="center"/>
    </xf>
    <xf numFmtId="0" fontId="13" fillId="0" borderId="0" xfId="0" applyFont="1" applyAlignment="1">
      <alignment horizontal="center" vertical="center" wrapText="1"/>
    </xf>
    <xf numFmtId="1" fontId="3" fillId="0" borderId="0" xfId="0" applyNumberFormat="1" applyFont="1" applyAlignment="1">
      <alignment horizontal="center" vertical="center"/>
    </xf>
    <xf numFmtId="0" fontId="0" fillId="0" borderId="0" xfId="0" applyFont="1" applyAlignment="1">
      <alignment horizontal="center"/>
    </xf>
    <xf numFmtId="0" fontId="8" fillId="0" borderId="0" xfId="0" applyFont="1" applyAlignment="1">
      <alignment vertical="center"/>
    </xf>
    <xf numFmtId="2" fontId="3" fillId="5" borderId="0" xfId="0" applyNumberFormat="1" applyFont="1" applyFill="1" applyBorder="1" applyAlignment="1">
      <alignment horizontal="center" vertical="center"/>
    </xf>
    <xf numFmtId="0" fontId="7" fillId="3" borderId="1" xfId="0" applyFont="1" applyFill="1" applyBorder="1" applyAlignment="1" applyProtection="1">
      <alignment horizontal="center" vertical="center" wrapText="1"/>
      <protection locked="0"/>
    </xf>
    <xf numFmtId="0" fontId="7" fillId="0" borderId="0" xfId="0" applyFont="1" applyAlignment="1" applyProtection="1">
      <alignment horizontal="center" vertical="center" wrapText="1"/>
      <protection locked="0"/>
    </xf>
    <xf numFmtId="0" fontId="14" fillId="0" borderId="0" xfId="0" applyFont="1" applyAlignment="1">
      <alignment horizontal="center" vertical="center"/>
    </xf>
    <xf numFmtId="0" fontId="14" fillId="0" borderId="0" xfId="0" applyFont="1" applyAlignment="1">
      <alignment horizontal="center" vertical="center"/>
    </xf>
    <xf numFmtId="0" fontId="0" fillId="0" borderId="0" xfId="0" applyNumberFormat="1" applyAlignment="1">
      <alignment wrapText="1"/>
    </xf>
    <xf numFmtId="0" fontId="0" fillId="3" borderId="1" xfId="0" applyFont="1" applyFill="1" applyBorder="1" applyAlignment="1">
      <alignment horizontal="left"/>
    </xf>
    <xf numFmtId="0" fontId="0" fillId="0" borderId="1" xfId="0" applyFont="1" applyBorder="1" applyAlignment="1">
      <alignment horizontal="left"/>
    </xf>
    <xf numFmtId="0" fontId="0" fillId="3" borderId="3" xfId="0" applyFont="1" applyFill="1" applyBorder="1" applyAlignment="1">
      <alignment horizontal="left"/>
    </xf>
    <xf numFmtId="14" fontId="0" fillId="0" borderId="0" xfId="0" applyNumberFormat="1" applyAlignment="1">
      <alignment wrapText="1"/>
    </xf>
    <xf numFmtId="0" fontId="0" fillId="0" borderId="0" xfId="0" applyAlignment="1" applyProtection="1">
      <alignment horizontal="left"/>
    </xf>
    <xf numFmtId="0" fontId="11" fillId="0" borderId="0" xfId="0" applyFont="1" applyAlignment="1">
      <alignment horizontal="center"/>
    </xf>
    <xf numFmtId="0" fontId="0" fillId="0" borderId="0" xfId="0" applyAlignment="1">
      <alignment horizontal="center"/>
    </xf>
    <xf numFmtId="0" fontId="12" fillId="0" borderId="0" xfId="0" applyFont="1" applyAlignment="1">
      <alignment horizontal="center"/>
    </xf>
    <xf numFmtId="0" fontId="3" fillId="0" borderId="0" xfId="0" applyFont="1" applyAlignment="1">
      <alignment horizontal="center"/>
    </xf>
    <xf numFmtId="0" fontId="0" fillId="0" borderId="0" xfId="0" applyFont="1" applyAlignment="1">
      <alignment horizontal="center"/>
    </xf>
    <xf numFmtId="165" fontId="0" fillId="0" borderId="0" xfId="0" applyNumberFormat="1" applyFont="1" applyAlignment="1">
      <alignment horizontal="center"/>
    </xf>
    <xf numFmtId="0" fontId="14" fillId="0" borderId="0" xfId="0" applyFont="1" applyAlignment="1">
      <alignment horizontal="center" vertical="center"/>
    </xf>
    <xf numFmtId="0" fontId="0" fillId="0" borderId="0" xfId="0" applyAlignment="1">
      <alignment horizontal="left" vertical="top" wrapText="1"/>
    </xf>
    <xf numFmtId="0" fontId="0" fillId="0" borderId="8"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justify" vertical="top" wrapText="1"/>
    </xf>
    <xf numFmtId="0" fontId="0" fillId="0" borderId="0" xfId="0" applyAlignment="1">
      <alignment horizontal="justify" vertical="center" wrapText="1"/>
    </xf>
    <xf numFmtId="0" fontId="5" fillId="0" borderId="0" xfId="0" applyFont="1" applyAlignment="1">
      <alignment horizontal="center" vertical="center"/>
    </xf>
    <xf numFmtId="0" fontId="5" fillId="0" borderId="0" xfId="0" applyFont="1" applyAlignment="1">
      <alignment horizontal="center"/>
    </xf>
    <xf numFmtId="166" fontId="9" fillId="0" borderId="0" xfId="0" applyNumberFormat="1" applyFont="1" applyAlignment="1">
      <alignment horizontal="center" vertical="center"/>
    </xf>
    <xf numFmtId="0" fontId="9" fillId="0" borderId="0" xfId="0" applyFont="1" applyAlignment="1">
      <alignment horizontal="center" vertical="center"/>
    </xf>
  </cellXfs>
  <cellStyles count="2">
    <cellStyle name="Hyperlink" xfId="1" builtinId="8"/>
    <cellStyle name="Normal" xfId="0" builtinId="0"/>
  </cellStyles>
  <dxfs count="144">
    <dxf>
      <numFmt numFmtId="0" formatCode="General"/>
      <alignment horizontal="general" vertical="bottom" textRotation="0" wrapText="1" indent="0" justifyLastLine="0" shrinkToFit="0" readingOrder="0"/>
    </dxf>
    <dxf>
      <numFmt numFmtId="19" formatCode="dd/mm/yyyy"/>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numFmt numFmtId="19" formatCode="dd/mm/yyyy"/>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i val="0"/>
        <strike val="0"/>
        <condense val="0"/>
        <extend val="0"/>
        <outline val="0"/>
        <shadow val="0"/>
        <u val="none"/>
        <vertAlign val="baseline"/>
        <sz val="18"/>
        <color theme="1"/>
        <name val="Calibri"/>
        <scheme val="min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protection locked="1"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style="thin">
          <color theme="4" tint="0.39997558519241921"/>
        </bottom>
      </border>
      <protection locked="1"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style="thin">
          <color theme="4" tint="0.39997558519241921"/>
        </bottom>
      </border>
      <protection locked="1"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style="thin">
          <color theme="4" tint="0.39997558519241921"/>
        </bottom>
      </border>
      <protection locked="1"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style="thin">
          <color theme="4" tint="0.39997558519241921"/>
        </bottom>
      </border>
      <protection locked="1"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justify" vertical="center" textRotation="0" wrapText="1" indent="0" justifyLastLine="0" shrinkToFit="0" readingOrder="0"/>
      <border diagonalUp="0" diagonalDown="0">
        <left/>
        <right/>
        <top style="thin">
          <color theme="4" tint="0.39997558519241921"/>
        </top>
        <bottom style="thin">
          <color theme="4" tint="0.39997558519241921"/>
        </bottom>
      </border>
      <protection locked="1"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border>
      <protection locked="1"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protection locked="1"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protection locked="1" hidden="0"/>
    </dxf>
    <dxf>
      <border outline="0">
        <top style="thin">
          <color rgb="FF8EA9DB"/>
        </top>
      </border>
    </dxf>
    <dxf>
      <border outline="0">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scheme val="none"/>
      </font>
      <fill>
        <patternFill patternType="solid">
          <fgColor rgb="FFD9E1F2"/>
          <bgColor rgb="FFD9E1F2"/>
        </patternFill>
      </fill>
      <alignment horizontal="general" vertical="bottom" textRotation="0" wrapText="1" indent="0" justifyLastLine="0" shrinkToFit="0" readingOrder="0"/>
    </dxf>
    <dxf>
      <border outline="0">
        <bottom style="thin">
          <color rgb="FF8EA9DB"/>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0" wrapText="1" indent="0" justifyLastLine="0" shrinkToFit="0" readingOrder="0"/>
    </dxf>
    <dxf>
      <font>
        <b/>
        <i val="0"/>
        <color theme="0"/>
      </font>
      <fill>
        <patternFill>
          <bgColor rgb="FF92D050"/>
        </patternFill>
      </fill>
      <border>
        <left style="thin">
          <color auto="1"/>
        </left>
        <right style="thin">
          <color auto="1"/>
        </right>
        <top style="thin">
          <color auto="1"/>
        </top>
        <bottom style="thin">
          <color auto="1"/>
        </bottom>
      </border>
    </dxf>
    <dxf>
      <font>
        <b/>
        <i val="0"/>
        <color theme="0"/>
      </font>
      <fill>
        <patternFill>
          <bgColor rgb="FFFF0000"/>
        </patternFill>
      </fill>
      <border>
        <left style="thin">
          <color auto="1"/>
        </left>
        <right style="thin">
          <color auto="1"/>
        </right>
        <top style="thin">
          <color auto="1"/>
        </top>
        <bottom style="thin">
          <color auto="1"/>
        </bottom>
      </border>
    </dxf>
    <dxf>
      <fill>
        <patternFill>
          <bgColor rgb="FFFF3300"/>
        </patternFill>
      </fill>
    </dxf>
    <dxf>
      <font>
        <b val="0"/>
        <i val="0"/>
        <strike val="0"/>
        <condense val="0"/>
        <extend val="0"/>
        <outline val="0"/>
        <shadow val="0"/>
        <u val="none"/>
        <vertAlign val="baseline"/>
        <sz val="11"/>
        <color theme="1"/>
        <name val="Calibri"/>
        <scheme val="minor"/>
      </font>
      <numFmt numFmtId="19" formatCode="dd/mm/yyyy"/>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i val="0"/>
        <strike val="0"/>
        <condense val="0"/>
        <extend val="0"/>
        <outline val="0"/>
        <shadow val="0"/>
        <u val="none"/>
        <vertAlign val="baseline"/>
        <sz val="18"/>
        <color theme="1"/>
        <name val="Calibri"/>
        <scheme val="min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justify"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rgb="FF8EA9DB"/>
        </top>
      </border>
    </dxf>
    <dxf>
      <border outline="0">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scheme val="none"/>
      </font>
      <fill>
        <patternFill patternType="solid">
          <fgColor rgb="FFD9E1F2"/>
          <bgColor rgb="FFD9E1F2"/>
        </patternFill>
      </fill>
      <alignment horizontal="general" vertical="bottom" textRotation="0" wrapText="1" indent="0" justifyLastLine="0" shrinkToFit="0" readingOrder="0"/>
    </dxf>
    <dxf>
      <border outline="0">
        <bottom style="thin">
          <color rgb="FF8EA9DB"/>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0" wrapText="1" indent="0" justifyLastLine="0" shrinkToFit="0" readingOrder="0"/>
    </dxf>
    <dxf>
      <font>
        <b/>
        <i val="0"/>
        <color theme="0"/>
      </font>
      <fill>
        <patternFill>
          <bgColor rgb="FF92D050"/>
        </patternFill>
      </fill>
      <border>
        <left style="thin">
          <color auto="1"/>
        </left>
        <right style="thin">
          <color auto="1"/>
        </right>
        <top style="thin">
          <color auto="1"/>
        </top>
        <bottom style="thin">
          <color auto="1"/>
        </bottom>
      </border>
    </dxf>
    <dxf>
      <font>
        <b/>
        <i val="0"/>
        <color theme="0"/>
      </font>
      <fill>
        <patternFill>
          <bgColor rgb="FFFF0000"/>
        </patternFill>
      </fill>
      <border>
        <left style="thin">
          <color auto="1"/>
        </left>
        <right style="thin">
          <color auto="1"/>
        </right>
        <top style="thin">
          <color auto="1"/>
        </top>
        <bottom style="thin">
          <color auto="1"/>
        </bottom>
      </border>
    </dxf>
    <dxf>
      <fill>
        <patternFill>
          <bgColor rgb="FFFF3300"/>
        </patternFill>
      </fill>
    </dxf>
    <dxf>
      <font>
        <b val="0"/>
        <i val="0"/>
        <strike val="0"/>
        <condense val="0"/>
        <extend val="0"/>
        <outline val="0"/>
        <shadow val="0"/>
        <u val="none"/>
        <vertAlign val="baseline"/>
        <sz val="11"/>
        <color theme="1"/>
        <name val="Calibri"/>
        <scheme val="minor"/>
      </font>
      <numFmt numFmtId="19" formatCode="dd/mm/yyyy"/>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i val="0"/>
        <strike val="0"/>
        <condense val="0"/>
        <extend val="0"/>
        <outline val="0"/>
        <shadow val="0"/>
        <u val="none"/>
        <vertAlign val="baseline"/>
        <sz val="18"/>
        <color theme="1"/>
        <name val="Calibri"/>
        <scheme val="min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justify"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rgb="FF8EA9DB"/>
        </top>
      </border>
    </dxf>
    <dxf>
      <border outline="0">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scheme val="none"/>
      </font>
      <fill>
        <patternFill patternType="solid">
          <fgColor rgb="FFD9E1F2"/>
          <bgColor rgb="FFD9E1F2"/>
        </patternFill>
      </fill>
      <alignment horizontal="general" vertical="bottom" textRotation="0" wrapText="1" indent="0" justifyLastLine="0" shrinkToFit="0" readingOrder="0"/>
    </dxf>
    <dxf>
      <border outline="0">
        <bottom style="thin">
          <color rgb="FF8EA9DB"/>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0" wrapText="1" indent="0" justifyLastLine="0" shrinkToFit="0" readingOrder="0"/>
    </dxf>
    <dxf>
      <font>
        <b/>
        <i val="0"/>
        <color theme="0"/>
      </font>
      <fill>
        <patternFill>
          <bgColor rgb="FF92D050"/>
        </patternFill>
      </fill>
      <border>
        <left style="thin">
          <color auto="1"/>
        </left>
        <right style="thin">
          <color auto="1"/>
        </right>
        <top style="thin">
          <color auto="1"/>
        </top>
        <bottom style="thin">
          <color auto="1"/>
        </bottom>
      </border>
    </dxf>
    <dxf>
      <font>
        <b/>
        <i val="0"/>
        <color theme="0"/>
      </font>
      <fill>
        <patternFill>
          <bgColor rgb="FFFF0000"/>
        </patternFill>
      </fill>
      <border>
        <left style="thin">
          <color auto="1"/>
        </left>
        <right style="thin">
          <color auto="1"/>
        </right>
        <top style="thin">
          <color auto="1"/>
        </top>
        <bottom style="thin">
          <color auto="1"/>
        </bottom>
      </border>
    </dxf>
    <dxf>
      <fill>
        <patternFill>
          <bgColor rgb="FFFF3300"/>
        </patternFill>
      </fill>
    </dxf>
    <dxf>
      <font>
        <b val="0"/>
        <i val="0"/>
        <strike val="0"/>
        <condense val="0"/>
        <extend val="0"/>
        <outline val="0"/>
        <shadow val="0"/>
        <u val="none"/>
        <vertAlign val="baseline"/>
        <sz val="11"/>
        <color theme="1"/>
        <name val="Calibri"/>
        <scheme val="minor"/>
      </font>
      <numFmt numFmtId="19" formatCode="dd/mm/yyyy"/>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i val="0"/>
        <strike val="0"/>
        <condense val="0"/>
        <extend val="0"/>
        <outline val="0"/>
        <shadow val="0"/>
        <u val="none"/>
        <vertAlign val="baseline"/>
        <sz val="18"/>
        <color theme="1"/>
        <name val="Calibri"/>
        <scheme val="min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justify"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rgb="FF8EA9DB"/>
        </top>
      </border>
    </dxf>
    <dxf>
      <border outline="0">
        <right style="thin">
          <color rgb="FF8EA9DB"/>
        </right>
        <top style="thin">
          <color rgb="FF8EA9DB"/>
        </top>
        <bottom style="thin">
          <color rgb="FF8EA9DB"/>
        </bottom>
      </border>
    </dxf>
    <dxf>
      <font>
        <b val="0"/>
        <i val="0"/>
        <strike val="0"/>
        <condense val="0"/>
        <extend val="0"/>
        <outline val="0"/>
        <shadow val="0"/>
        <u val="none"/>
        <vertAlign val="baseline"/>
        <sz val="11"/>
        <color rgb="FF000000"/>
        <name val="Calibri"/>
        <scheme val="none"/>
      </font>
      <fill>
        <patternFill patternType="solid">
          <fgColor rgb="FFD9E1F2"/>
          <bgColor rgb="FFD9E1F2"/>
        </patternFill>
      </fill>
      <alignment horizontal="general" vertical="bottom" textRotation="0" wrapText="1" indent="0" justifyLastLine="0" shrinkToFit="0" readingOrder="0"/>
    </dxf>
    <dxf>
      <border outline="0">
        <bottom style="thin">
          <color rgb="FF8EA9DB"/>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0" wrapText="1" indent="0" justifyLastLine="0" shrinkToFit="0" readingOrder="0"/>
    </dxf>
    <dxf>
      <font>
        <b/>
        <i val="0"/>
        <color theme="0"/>
      </font>
      <fill>
        <patternFill>
          <bgColor rgb="FFFF0000"/>
        </patternFill>
      </fill>
      <border>
        <left style="thin">
          <color auto="1"/>
        </left>
        <right style="thin">
          <color auto="1"/>
        </right>
        <top style="thin">
          <color auto="1"/>
        </top>
        <bottom style="thin">
          <color auto="1"/>
        </bottom>
      </border>
    </dxf>
    <dxf>
      <font>
        <b/>
        <i val="0"/>
        <color theme="0"/>
      </font>
      <fill>
        <patternFill>
          <bgColor rgb="FF92D050"/>
        </patternFill>
      </fill>
      <border>
        <left style="thin">
          <color auto="1"/>
        </left>
        <right style="thin">
          <color auto="1"/>
        </right>
        <top style="thin">
          <color auto="1"/>
        </top>
        <bottom style="thin">
          <color auto="1"/>
        </bottom>
      </border>
    </dxf>
    <dxf>
      <fill>
        <patternFill>
          <bgColor rgb="FFFF3300"/>
        </patternFill>
      </fill>
    </dxf>
    <dxf>
      <font>
        <b val="0"/>
        <i val="0"/>
        <strike val="0"/>
        <condense val="0"/>
        <extend val="0"/>
        <outline val="0"/>
        <shadow val="0"/>
        <u val="none"/>
        <vertAlign val="baseline"/>
        <sz val="11"/>
        <color theme="1"/>
        <name val="Calibri"/>
        <scheme val="minor"/>
      </font>
      <numFmt numFmtId="19" formatCode="dd/mm/yyyy"/>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i val="0"/>
        <strike val="0"/>
        <condense val="0"/>
        <extend val="0"/>
        <outline val="0"/>
        <shadow val="0"/>
        <u val="none"/>
        <vertAlign val="baseline"/>
        <sz val="18"/>
        <color theme="1"/>
        <name val="Calibri"/>
        <scheme val="minor"/>
      </font>
      <numFmt numFmtId="0" formatCode="General"/>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justify"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top" textRotation="0" wrapText="1" indent="0" justifyLastLine="0" shrinkToFit="0" readingOrder="0"/>
    </dxf>
    <dxf>
      <font>
        <b/>
        <i val="0"/>
        <color theme="0"/>
      </font>
      <fill>
        <patternFill>
          <bgColor rgb="FF92D050"/>
        </patternFill>
      </fill>
      <border>
        <left style="thin">
          <color auto="1"/>
        </left>
        <right style="thin">
          <color auto="1"/>
        </right>
        <top style="thin">
          <color auto="1"/>
        </top>
        <bottom style="thin">
          <color auto="1"/>
        </bottom>
      </border>
    </dxf>
    <dxf>
      <font>
        <b/>
        <i val="0"/>
        <color theme="0"/>
      </font>
      <fill>
        <patternFill>
          <bgColor rgb="FFFF0000"/>
        </patternFill>
      </fill>
      <border>
        <left style="thin">
          <color auto="1"/>
        </left>
        <right style="thin">
          <color auto="1"/>
        </right>
        <top style="thin">
          <color auto="1"/>
        </top>
        <bottom style="thin">
          <color auto="1"/>
        </bottom>
      </border>
    </dxf>
    <dxf>
      <fill>
        <patternFill>
          <bgColor rgb="FFFF3300"/>
        </patternFill>
      </fill>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dxf>
    <dxf>
      <numFmt numFmtId="2" formatCode="0.00"/>
    </dxf>
    <dxf>
      <numFmt numFmtId="2" formatCode="0.00"/>
    </dxf>
    <dxf>
      <numFmt numFmtId="2" formatCode="0.00"/>
    </dxf>
    <dxf>
      <numFmt numFmtId="2" formatCode="0.00"/>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ont>
        <b/>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3"/>
        <color theme="1"/>
        <name val="Calibri"/>
        <scheme val="minor"/>
      </font>
      <alignment horizontal="center" vertical="center" textRotation="0" indent="0" justifyLastLine="0" shrinkToFit="0" readingOrder="0"/>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s>
  <tableStyles count="0" defaultTableStyle="TableStyleMedium2" defaultPivotStyle="PivotStyleLight16"/>
  <colors>
    <mruColors>
      <color rgb="FF75B44A"/>
      <color rgb="FF62983E"/>
      <color rgb="FFFF33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pivotSource>
    <c:name>[Profil Risiko_v1.43 protected .xlsm]Chart!PivotTable13</c:name>
    <c:fmtId val="0"/>
  </c:pivotSource>
  <c:chart>
    <c:title>
      <c:layout/>
      <c:overlay val="0"/>
    </c:title>
    <c:autoTitleDeleted val="0"/>
    <c:pivotFmts>
      <c:pivotFmt>
        <c:idx val="0"/>
        <c:marker>
          <c:symbol val="none"/>
        </c:marker>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
        <c:marker>
          <c:symbol val="none"/>
        </c:marker>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2"/>
        <c:marker>
          <c:symbol val="none"/>
        </c:marker>
        <c:dLbl>
          <c:idx val="0"/>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3"/>
        <c:marker>
          <c:symbol val="none"/>
        </c:marker>
        <c:dLbl>
          <c:idx val="0"/>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4"/>
        <c:marker>
          <c:symbol val="none"/>
        </c:marker>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5"/>
        <c:marker>
          <c:symbol val="none"/>
        </c:marker>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6"/>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7"/>
        <c:marker>
          <c:symbol val="none"/>
        </c:marker>
        <c:dLbl>
          <c:idx val="0"/>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8"/>
        <c:marker>
          <c:symbol val="none"/>
        </c:marker>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9"/>
        <c:marker>
          <c:symbol val="none"/>
        </c:marker>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0"/>
        <c:marker>
          <c:symbol val="none"/>
        </c:marker>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1"/>
        <c:marker>
          <c:symbol val="none"/>
        </c:marker>
      </c:pivotFmt>
      <c:pivotFmt>
        <c:idx val="12"/>
        <c:marker>
          <c:symbol val="none"/>
        </c:marker>
        <c:dLbl>
          <c:idx val="0"/>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3"/>
        <c:marker>
          <c:symbol val="none"/>
        </c:marker>
        <c:dLbl>
          <c:idx val="0"/>
          <c:layout/>
          <c:dLblPos val="bestFit"/>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4"/>
        <c:marker>
          <c:symbol val="none"/>
        </c:marker>
      </c:pivotFmt>
      <c:pivotFmt>
        <c:idx val="15"/>
        <c:marker>
          <c:symbol val="none"/>
        </c:marker>
        <c:dLbl>
          <c:idx val="0"/>
          <c:spPr/>
          <c:txPr>
            <a:bodyPr/>
            <a:lstStyle/>
            <a:p>
              <a:pPr>
                <a:defRPr/>
              </a:pPr>
              <a:endParaRPr lang="en-US"/>
            </a:p>
          </c:txPr>
          <c:dLblPos val="bestFit"/>
          <c:showLegendKey val="0"/>
          <c:showVal val="0"/>
          <c:showCatName val="1"/>
          <c:showSerName val="0"/>
          <c:showPercent val="1"/>
          <c:showBubbleSize val="0"/>
        </c:dLbl>
      </c:pivotFmt>
    </c:pivotFmts>
    <c:plotArea>
      <c:layout/>
      <c:pieChart>
        <c:varyColors val="1"/>
        <c:ser>
          <c:idx val="0"/>
          <c:order val="0"/>
          <c:tx>
            <c:strRef>
              <c:f>Chart!$B$5:$B$6</c:f>
              <c:strCache>
                <c:ptCount val="1"/>
                <c:pt idx="0">
                  <c:v>Inherent Kepatuhan</c:v>
                </c:pt>
              </c:strCache>
            </c:strRef>
          </c:tx>
          <c:dLbls>
            <c:spPr/>
            <c:txPr>
              <a:bodyPr/>
              <a:lstStyle/>
              <a:p>
                <a:pPr>
                  <a:defRPr/>
                </a:pPr>
                <a:endParaRPr lang="en-US"/>
              </a:p>
            </c:txPr>
            <c:dLblPos val="bestFit"/>
            <c:showLegendKey val="0"/>
            <c:showVal val="0"/>
            <c:showCatName val="1"/>
            <c:showSerName val="0"/>
            <c:showPercent val="1"/>
            <c:showBubbleSize val="0"/>
            <c:showLeaderLines val="1"/>
          </c:dLbls>
          <c:cat>
            <c:strRef>
              <c:f>Chart!$A$7:$A$12</c:f>
              <c:strCache>
                <c:ptCount val="5"/>
                <c:pt idx="0">
                  <c:v>(blank)</c:v>
                </c:pt>
                <c:pt idx="1">
                  <c:v>3</c:v>
                </c:pt>
                <c:pt idx="2">
                  <c:v>2</c:v>
                </c:pt>
                <c:pt idx="3">
                  <c:v>1</c:v>
                </c:pt>
                <c:pt idx="4">
                  <c:v>4</c:v>
                </c:pt>
              </c:strCache>
            </c:strRef>
          </c:cat>
          <c:val>
            <c:numRef>
              <c:f>Chart!$B$7:$B$12</c:f>
              <c:numCache>
                <c:formatCode>General</c:formatCode>
                <c:ptCount val="5"/>
                <c:pt idx="1">
                  <c:v>3</c:v>
                </c:pt>
                <c:pt idx="2">
                  <c:v>4</c:v>
                </c:pt>
                <c:pt idx="3">
                  <c:v>2</c:v>
                </c:pt>
                <c:pt idx="4">
                  <c:v>1</c:v>
                </c:pt>
              </c:numCache>
            </c:numRef>
          </c:val>
          <c:extLst xmlns:c16r2="http://schemas.microsoft.com/office/drawing/2015/06/chart">
            <c:ext xmlns:c16="http://schemas.microsoft.com/office/drawing/2014/chart" uri="{C3380CC4-5D6E-409C-BE32-E72D297353CC}">
              <c16:uniqueId val="{00000000-9619-4941-9779-37E246A0349F}"/>
            </c:ext>
          </c:extLst>
        </c:ser>
        <c:dLbls>
          <c:dLblPos val="bestFit"/>
          <c:showLegendKey val="0"/>
          <c:showVal val="0"/>
          <c:showCatName val="1"/>
          <c:showSerName val="0"/>
          <c:showPercent val="1"/>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[Profil Risiko_v1.43 protected .xlsm]Graphs!PivotTable1</c:name>
    <c:fmtId val="0"/>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pivotFmt>
    </c:pivotFmts>
    <c:plotArea>
      <c:layout/>
      <c:lineChart>
        <c:grouping val="standard"/>
        <c:varyColors val="0"/>
        <c:ser>
          <c:idx val="0"/>
          <c:order val="0"/>
          <c:tx>
            <c:strRef>
              <c:f>Graphs!$B$5:$B$6</c:f>
              <c:strCache>
                <c:ptCount val="1"/>
                <c:pt idx="0">
                  <c:v>5</c:v>
                </c:pt>
              </c:strCache>
            </c:strRef>
          </c:tx>
          <c:cat>
            <c:strRef>
              <c:f>Graphs!$A$7:$A$8</c:f>
              <c:strCache>
                <c:ptCount val="1"/>
                <c:pt idx="0">
                  <c:v>Jan-2022</c:v>
                </c:pt>
              </c:strCache>
            </c:strRef>
          </c:cat>
          <c:val>
            <c:numRef>
              <c:f>Graphs!$B$7:$B$8</c:f>
              <c:numCache>
                <c:formatCode>General</c:formatCode>
                <c:ptCount val="1"/>
                <c:pt idx="0">
                  <c:v>33</c:v>
                </c:pt>
              </c:numCache>
            </c:numRef>
          </c:val>
          <c:smooth val="0"/>
          <c:extLst xmlns:c16r2="http://schemas.microsoft.com/office/drawing/2015/06/chart">
            <c:ext xmlns:c16="http://schemas.microsoft.com/office/drawing/2014/chart" uri="{C3380CC4-5D6E-409C-BE32-E72D297353CC}">
              <c16:uniqueId val="{00000000-0B2B-40DC-A8A5-E399C0A10604}"/>
            </c:ext>
          </c:extLst>
        </c:ser>
        <c:ser>
          <c:idx val="1"/>
          <c:order val="1"/>
          <c:tx>
            <c:strRef>
              <c:f>Graphs!$C$5:$C$6</c:f>
              <c:strCache>
                <c:ptCount val="1"/>
                <c:pt idx="0">
                  <c:v>(blank)</c:v>
                </c:pt>
              </c:strCache>
            </c:strRef>
          </c:tx>
          <c:cat>
            <c:strRef>
              <c:f>Graphs!$A$7:$A$8</c:f>
              <c:strCache>
                <c:ptCount val="1"/>
                <c:pt idx="0">
                  <c:v>Jan-2022</c:v>
                </c:pt>
              </c:strCache>
            </c:strRef>
          </c:cat>
          <c:val>
            <c:numRef>
              <c:f>Graphs!$C$7:$C$8</c:f>
              <c:numCache>
                <c:formatCode>General</c:formatCode>
                <c:ptCount val="1"/>
              </c:numCache>
            </c:numRef>
          </c:val>
          <c:smooth val="0"/>
        </c:ser>
        <c:ser>
          <c:idx val="2"/>
          <c:order val="2"/>
          <c:tx>
            <c:strRef>
              <c:f>Graphs!$D$5:$D$6</c:f>
              <c:strCache>
                <c:ptCount val="1"/>
                <c:pt idx="0">
                  <c:v>3</c:v>
                </c:pt>
              </c:strCache>
            </c:strRef>
          </c:tx>
          <c:cat>
            <c:strRef>
              <c:f>Graphs!$A$7:$A$8</c:f>
              <c:strCache>
                <c:ptCount val="1"/>
                <c:pt idx="0">
                  <c:v>Jan-2022</c:v>
                </c:pt>
              </c:strCache>
            </c:strRef>
          </c:cat>
          <c:val>
            <c:numRef>
              <c:f>Graphs!$D$7:$D$8</c:f>
              <c:numCache>
                <c:formatCode>General</c:formatCode>
                <c:ptCount val="1"/>
                <c:pt idx="0">
                  <c:v>6</c:v>
                </c:pt>
              </c:numCache>
            </c:numRef>
          </c:val>
          <c:smooth val="0"/>
        </c:ser>
        <c:ser>
          <c:idx val="3"/>
          <c:order val="3"/>
          <c:tx>
            <c:strRef>
              <c:f>Graphs!$E$5:$E$6</c:f>
              <c:strCache>
                <c:ptCount val="1"/>
                <c:pt idx="0">
                  <c:v>2</c:v>
                </c:pt>
              </c:strCache>
            </c:strRef>
          </c:tx>
          <c:cat>
            <c:strRef>
              <c:f>Graphs!$A$7:$A$8</c:f>
              <c:strCache>
                <c:ptCount val="1"/>
                <c:pt idx="0">
                  <c:v>Jan-2022</c:v>
                </c:pt>
              </c:strCache>
            </c:strRef>
          </c:cat>
          <c:val>
            <c:numRef>
              <c:f>Graphs!$E$7:$E$8</c:f>
              <c:numCache>
                <c:formatCode>General</c:formatCode>
                <c:ptCount val="1"/>
                <c:pt idx="0">
                  <c:v>10</c:v>
                </c:pt>
              </c:numCache>
            </c:numRef>
          </c:val>
          <c:smooth val="0"/>
        </c:ser>
        <c:ser>
          <c:idx val="4"/>
          <c:order val="4"/>
          <c:tx>
            <c:strRef>
              <c:f>Graphs!$F$5:$F$6</c:f>
              <c:strCache>
                <c:ptCount val="1"/>
                <c:pt idx="0">
                  <c:v>1</c:v>
                </c:pt>
              </c:strCache>
            </c:strRef>
          </c:tx>
          <c:cat>
            <c:strRef>
              <c:f>Graphs!$A$7:$A$8</c:f>
              <c:strCache>
                <c:ptCount val="1"/>
                <c:pt idx="0">
                  <c:v>Jan-2022</c:v>
                </c:pt>
              </c:strCache>
            </c:strRef>
          </c:cat>
          <c:val>
            <c:numRef>
              <c:f>Graphs!$F$7:$F$8</c:f>
              <c:numCache>
                <c:formatCode>General</c:formatCode>
                <c:ptCount val="1"/>
                <c:pt idx="0">
                  <c:v>3</c:v>
                </c:pt>
              </c:numCache>
            </c:numRef>
          </c:val>
          <c:smooth val="0"/>
        </c:ser>
        <c:ser>
          <c:idx val="5"/>
          <c:order val="5"/>
          <c:tx>
            <c:strRef>
              <c:f>Graphs!$G$5:$G$6</c:f>
              <c:strCache>
                <c:ptCount val="1"/>
                <c:pt idx="0">
                  <c:v>4</c:v>
                </c:pt>
              </c:strCache>
            </c:strRef>
          </c:tx>
          <c:cat>
            <c:strRef>
              <c:f>Graphs!$A$7:$A$8</c:f>
              <c:strCache>
                <c:ptCount val="1"/>
                <c:pt idx="0">
                  <c:v>Jan-2022</c:v>
                </c:pt>
              </c:strCache>
            </c:strRef>
          </c:cat>
          <c:val>
            <c:numRef>
              <c:f>Graphs!$G$7:$G$8</c:f>
              <c:numCache>
                <c:formatCode>General</c:formatCode>
                <c:ptCount val="1"/>
                <c:pt idx="0">
                  <c:v>5</c:v>
                </c:pt>
              </c:numCache>
            </c:numRef>
          </c:val>
          <c:smooth val="0"/>
        </c:ser>
        <c:dLbls>
          <c:showLegendKey val="0"/>
          <c:showVal val="0"/>
          <c:showCatName val="0"/>
          <c:showSerName val="0"/>
          <c:showPercent val="0"/>
          <c:showBubbleSize val="0"/>
        </c:dLbls>
        <c:marker val="1"/>
        <c:smooth val="0"/>
        <c:axId val="301909504"/>
        <c:axId val="301911040"/>
      </c:lineChart>
      <c:catAx>
        <c:axId val="301909504"/>
        <c:scaling>
          <c:orientation val="minMax"/>
        </c:scaling>
        <c:delete val="0"/>
        <c:axPos val="b"/>
        <c:numFmt formatCode="General" sourceLinked="0"/>
        <c:majorTickMark val="out"/>
        <c:minorTickMark val="none"/>
        <c:tickLblPos val="nextTo"/>
        <c:crossAx val="301911040"/>
        <c:crosses val="autoZero"/>
        <c:auto val="1"/>
        <c:lblAlgn val="ctr"/>
        <c:lblOffset val="100"/>
        <c:noMultiLvlLbl val="0"/>
      </c:catAx>
      <c:valAx>
        <c:axId val="301911040"/>
        <c:scaling>
          <c:orientation val="minMax"/>
        </c:scaling>
        <c:delete val="0"/>
        <c:axPos val="l"/>
        <c:majorGridlines/>
        <c:numFmt formatCode="General" sourceLinked="1"/>
        <c:majorTickMark val="out"/>
        <c:minorTickMark val="none"/>
        <c:tickLblPos val="nextTo"/>
        <c:crossAx val="3019095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6.emf"/><Relationship Id="rId7" Type="http://schemas.openxmlformats.org/officeDocument/2006/relationships/image" Target="../media/image12.emf"/><Relationship Id="rId2" Type="http://schemas.openxmlformats.org/officeDocument/2006/relationships/image" Target="../media/image17.emf"/><Relationship Id="rId1" Type="http://schemas.openxmlformats.org/officeDocument/2006/relationships/image" Target="../media/image18.emf"/><Relationship Id="rId6" Type="http://schemas.openxmlformats.org/officeDocument/2006/relationships/image" Target="../media/image13.emf"/><Relationship Id="rId5" Type="http://schemas.openxmlformats.org/officeDocument/2006/relationships/image" Target="../media/image14.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6" Type="http://schemas.openxmlformats.org/officeDocument/2006/relationships/image" Target="../media/image19.emf"/><Relationship Id="rId5" Type="http://schemas.openxmlformats.org/officeDocument/2006/relationships/image" Target="../media/image20.emf"/><Relationship Id="rId4"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 Id="rId6" Type="http://schemas.openxmlformats.org/officeDocument/2006/relationships/image" Target="../media/image25.emf"/><Relationship Id="rId5" Type="http://schemas.openxmlformats.org/officeDocument/2006/relationships/image" Target="../media/image26.emf"/><Relationship Id="rId4" Type="http://schemas.openxmlformats.org/officeDocument/2006/relationships/image" Target="../media/image2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3.emf"/><Relationship Id="rId3" Type="http://schemas.openxmlformats.org/officeDocument/2006/relationships/image" Target="../media/image38.emf"/><Relationship Id="rId7" Type="http://schemas.openxmlformats.org/officeDocument/2006/relationships/image" Target="../media/image34.emf"/><Relationship Id="rId2" Type="http://schemas.openxmlformats.org/officeDocument/2006/relationships/image" Target="../media/image39.emf"/><Relationship Id="rId1" Type="http://schemas.openxmlformats.org/officeDocument/2006/relationships/image" Target="../media/image40.emf"/><Relationship Id="rId6" Type="http://schemas.openxmlformats.org/officeDocument/2006/relationships/image" Target="../media/image35.emf"/><Relationship Id="rId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37.emf"/><Relationship Id="rId9"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48.emf"/><Relationship Id="rId7" Type="http://schemas.openxmlformats.org/officeDocument/2006/relationships/image" Target="../media/image44.emf"/><Relationship Id="rId2" Type="http://schemas.openxmlformats.org/officeDocument/2006/relationships/image" Target="../media/image49.emf"/><Relationship Id="rId1" Type="http://schemas.openxmlformats.org/officeDocument/2006/relationships/image" Target="../media/image50.emf"/><Relationship Id="rId6" Type="http://schemas.openxmlformats.org/officeDocument/2006/relationships/image" Target="../media/image45.emf"/><Relationship Id="rId5" Type="http://schemas.openxmlformats.org/officeDocument/2006/relationships/image" Target="../media/image46.emf"/><Relationship Id="rId10" Type="http://schemas.openxmlformats.org/officeDocument/2006/relationships/image" Target="../media/image41.emf"/><Relationship Id="rId4" Type="http://schemas.openxmlformats.org/officeDocument/2006/relationships/image" Target="../media/image47.emf"/><Relationship Id="rId9" Type="http://schemas.openxmlformats.org/officeDocument/2006/relationships/image" Target="../media/image42.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53.emf"/><Relationship Id="rId3" Type="http://schemas.openxmlformats.org/officeDocument/2006/relationships/image" Target="../media/image58.emf"/><Relationship Id="rId7" Type="http://schemas.openxmlformats.org/officeDocument/2006/relationships/image" Target="../media/image54.emf"/><Relationship Id="rId2" Type="http://schemas.openxmlformats.org/officeDocument/2006/relationships/image" Target="../media/image59.emf"/><Relationship Id="rId1" Type="http://schemas.openxmlformats.org/officeDocument/2006/relationships/image" Target="../media/image60.emf"/><Relationship Id="rId6" Type="http://schemas.openxmlformats.org/officeDocument/2006/relationships/image" Target="../media/image55.emf"/><Relationship Id="rId5" Type="http://schemas.openxmlformats.org/officeDocument/2006/relationships/image" Target="../media/image56.emf"/><Relationship Id="rId10" Type="http://schemas.openxmlformats.org/officeDocument/2006/relationships/image" Target="../media/image51.emf"/><Relationship Id="rId4" Type="http://schemas.openxmlformats.org/officeDocument/2006/relationships/image" Target="../media/image57.emf"/><Relationship Id="rId9" Type="http://schemas.openxmlformats.org/officeDocument/2006/relationships/image" Target="../media/image52.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3.emf"/><Relationship Id="rId3" Type="http://schemas.openxmlformats.org/officeDocument/2006/relationships/image" Target="../media/image68.emf"/><Relationship Id="rId7" Type="http://schemas.openxmlformats.org/officeDocument/2006/relationships/image" Target="../media/image64.emf"/><Relationship Id="rId2" Type="http://schemas.openxmlformats.org/officeDocument/2006/relationships/image" Target="../media/image69.emf"/><Relationship Id="rId1" Type="http://schemas.openxmlformats.org/officeDocument/2006/relationships/image" Target="../media/image70.emf"/><Relationship Id="rId6" Type="http://schemas.openxmlformats.org/officeDocument/2006/relationships/image" Target="../media/image65.emf"/><Relationship Id="rId5" Type="http://schemas.openxmlformats.org/officeDocument/2006/relationships/image" Target="../media/image66.emf"/><Relationship Id="rId10" Type="http://schemas.openxmlformats.org/officeDocument/2006/relationships/image" Target="../media/image61.emf"/><Relationship Id="rId4" Type="http://schemas.openxmlformats.org/officeDocument/2006/relationships/image" Target="../media/image67.emf"/><Relationship Id="rId9" Type="http://schemas.openxmlformats.org/officeDocument/2006/relationships/image" Target="../media/image62.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73.emf"/><Relationship Id="rId3" Type="http://schemas.openxmlformats.org/officeDocument/2006/relationships/image" Target="../media/image78.emf"/><Relationship Id="rId7" Type="http://schemas.openxmlformats.org/officeDocument/2006/relationships/image" Target="../media/image74.emf"/><Relationship Id="rId2" Type="http://schemas.openxmlformats.org/officeDocument/2006/relationships/image" Target="../media/image79.emf"/><Relationship Id="rId1" Type="http://schemas.openxmlformats.org/officeDocument/2006/relationships/image" Target="../media/image80.emf"/><Relationship Id="rId6" Type="http://schemas.openxmlformats.org/officeDocument/2006/relationships/image" Target="../media/image75.emf"/><Relationship Id="rId5" Type="http://schemas.openxmlformats.org/officeDocument/2006/relationships/image" Target="../media/image76.emf"/><Relationship Id="rId10" Type="http://schemas.openxmlformats.org/officeDocument/2006/relationships/image" Target="../media/image71.emf"/><Relationship Id="rId4" Type="http://schemas.openxmlformats.org/officeDocument/2006/relationships/image" Target="../media/image77.emf"/><Relationship Id="rId9" Type="http://schemas.openxmlformats.org/officeDocument/2006/relationships/image" Target="../media/image7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2.emf"/><Relationship Id="rId1" Type="http://schemas.openxmlformats.org/officeDocument/2006/relationships/image" Target="../media/image81.emf"/><Relationship Id="rId6" Type="http://schemas.openxmlformats.org/officeDocument/2006/relationships/image" Target="../media/image86.emf"/><Relationship Id="rId5" Type="http://schemas.openxmlformats.org/officeDocument/2006/relationships/image" Target="../media/image85.emf"/><Relationship Id="rId4" Type="http://schemas.openxmlformats.org/officeDocument/2006/relationships/image" Target="../media/image8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27</xdr:row>
          <xdr:rowOff>19050</xdr:rowOff>
        </xdr:from>
        <xdr:to>
          <xdr:col>7</xdr:col>
          <xdr:colOff>476250</xdr:colOff>
          <xdr:row>29</xdr:row>
          <xdr:rowOff>66675</xdr:rowOff>
        </xdr:to>
        <xdr:sp macro="" textlink="">
          <xdr:nvSpPr>
            <xdr:cNvPr id="24584" name="menu_risiko_strategis" hidden="1">
              <a:extLst>
                <a:ext uri="{63B3BB69-23CF-44E3-9099-C40C66FF867C}">
                  <a14:compatExt spid="_x0000_s24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27</xdr:row>
          <xdr:rowOff>19050</xdr:rowOff>
        </xdr:from>
        <xdr:to>
          <xdr:col>10</xdr:col>
          <xdr:colOff>466725</xdr:colOff>
          <xdr:row>29</xdr:row>
          <xdr:rowOff>66675</xdr:rowOff>
        </xdr:to>
        <xdr:sp macro="" textlink="">
          <xdr:nvSpPr>
            <xdr:cNvPr id="24586" name="menu_risiko_operasional" hidden="1">
              <a:extLst>
                <a:ext uri="{63B3BB69-23CF-44E3-9099-C40C66FF867C}">
                  <a14:compatExt spid="_x0000_s24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27</xdr:row>
          <xdr:rowOff>19050</xdr:rowOff>
        </xdr:from>
        <xdr:to>
          <xdr:col>13</xdr:col>
          <xdr:colOff>457200</xdr:colOff>
          <xdr:row>29</xdr:row>
          <xdr:rowOff>66675</xdr:rowOff>
        </xdr:to>
        <xdr:sp macro="" textlink="">
          <xdr:nvSpPr>
            <xdr:cNvPr id="24587" name="menu_risiko_hukum" hidden="1">
              <a:extLst>
                <a:ext uri="{63B3BB69-23CF-44E3-9099-C40C66FF867C}">
                  <a14:compatExt spid="_x0000_s24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27</xdr:row>
          <xdr:rowOff>19050</xdr:rowOff>
        </xdr:from>
        <xdr:to>
          <xdr:col>19</xdr:col>
          <xdr:colOff>476250</xdr:colOff>
          <xdr:row>29</xdr:row>
          <xdr:rowOff>66675</xdr:rowOff>
        </xdr:to>
        <xdr:sp macro="" textlink="">
          <xdr:nvSpPr>
            <xdr:cNvPr id="24588" name="menu_risiko_reputasi" hidden="1">
              <a:extLst>
                <a:ext uri="{63B3BB69-23CF-44E3-9099-C40C66FF867C}">
                  <a14:compatExt spid="_x0000_s24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27</xdr:row>
          <xdr:rowOff>19050</xdr:rowOff>
        </xdr:from>
        <xdr:to>
          <xdr:col>16</xdr:col>
          <xdr:colOff>466725</xdr:colOff>
          <xdr:row>29</xdr:row>
          <xdr:rowOff>66675</xdr:rowOff>
        </xdr:to>
        <xdr:sp macro="" textlink="">
          <xdr:nvSpPr>
            <xdr:cNvPr id="24589" name="menu_risiko_kepatuhan" hidden="1">
              <a:extLst>
                <a:ext uri="{63B3BB69-23CF-44E3-9099-C40C66FF867C}">
                  <a14:compatExt spid="_x0000_s24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133350</xdr:colOff>
          <xdr:row>27</xdr:row>
          <xdr:rowOff>19050</xdr:rowOff>
        </xdr:from>
        <xdr:to>
          <xdr:col>22</xdr:col>
          <xdr:colOff>523875</xdr:colOff>
          <xdr:row>29</xdr:row>
          <xdr:rowOff>66675</xdr:rowOff>
        </xdr:to>
        <xdr:sp macro="" textlink="">
          <xdr:nvSpPr>
            <xdr:cNvPr id="24590" name="menu_risiko_komposit" hidden="1">
              <a:extLst>
                <a:ext uri="{63B3BB69-23CF-44E3-9099-C40C66FF867C}">
                  <a14:compatExt spid="_x0000_s24590"/>
                </a:ext>
              </a:extLst>
            </xdr:cNvPr>
            <xdr:cNvSpPr/>
          </xdr:nvSpPr>
          <xdr:spPr>
            <a:xfrm>
              <a:off x="0" y="0"/>
              <a:ext cx="0" cy="0"/>
            </a:xfrm>
            <a:prstGeom prst="rect">
              <a:avLst/>
            </a:prstGeom>
          </xdr:spPr>
        </xdr:sp>
        <xdr:clientData/>
      </xdr:twoCellAnchor>
    </mc:Choice>
    <mc:Fallback/>
  </mc:AlternateContent>
  <xdr:twoCellAnchor editAs="absolute">
    <xdr:from>
      <xdr:col>12</xdr:col>
      <xdr:colOff>76200</xdr:colOff>
      <xdr:row>7</xdr:row>
      <xdr:rowOff>114300</xdr:rowOff>
    </xdr:from>
    <xdr:to>
      <xdr:col>15</xdr:col>
      <xdr:colOff>504825</xdr:colOff>
      <xdr:row>19</xdr:row>
      <xdr:rowOff>85725</xdr:rowOff>
    </xdr:to>
    <xdr:pic>
      <xdr:nvPicPr>
        <xdr:cNvPr id="3" name="Picture 2">
          <a:extLst>
            <a:ext uri="{FF2B5EF4-FFF2-40B4-BE49-F238E27FC236}">
              <a16:creationId xmlns:a16="http://schemas.microsoft.com/office/drawing/2014/main" xmlns="" id="{F60BAF29-0891-4B45-A40C-2E07528927E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391400" y="1447800"/>
          <a:ext cx="2257425" cy="2257425"/>
        </a:xfrm>
        <a:prstGeom prst="rect">
          <a:avLst/>
        </a:prstGeom>
      </xdr:spPr>
    </xdr:pic>
    <xdr:clientData/>
  </xdr:twoCellAnchor>
  <xdr:twoCellAnchor>
    <xdr:from>
      <xdr:col>0</xdr:col>
      <xdr:colOff>0</xdr:colOff>
      <xdr:row>33</xdr:row>
      <xdr:rowOff>85725</xdr:rowOff>
    </xdr:from>
    <xdr:to>
      <xdr:col>30</xdr:col>
      <xdr:colOff>438150</xdr:colOff>
      <xdr:row>40</xdr:row>
      <xdr:rowOff>171450</xdr:rowOff>
    </xdr:to>
    <xdr:sp macro="" textlink="">
      <xdr:nvSpPr>
        <xdr:cNvPr id="11" name="Rectangle 10">
          <a:extLst>
            <a:ext uri="{FF2B5EF4-FFF2-40B4-BE49-F238E27FC236}">
              <a16:creationId xmlns:a16="http://schemas.microsoft.com/office/drawing/2014/main" xmlns="" id="{237A12C3-C378-41D9-850F-27E1790D94CA}"/>
            </a:ext>
          </a:extLst>
        </xdr:cNvPr>
        <xdr:cNvSpPr/>
      </xdr:nvSpPr>
      <xdr:spPr>
        <a:xfrm>
          <a:off x="0" y="6372225"/>
          <a:ext cx="18726150" cy="1419225"/>
        </a:xfrm>
        <a:prstGeom prst="rect">
          <a:avLst/>
        </a:prstGeom>
        <a:gradFill flip="none" rotWithShape="1">
          <a:gsLst>
            <a:gs pos="0">
              <a:schemeClr val="accent6">
                <a:lumMod val="75000"/>
              </a:schemeClr>
            </a:gs>
            <a:gs pos="48000">
              <a:schemeClr val="accent6">
                <a:lumMod val="60000"/>
                <a:lumOff val="40000"/>
              </a:schemeClr>
            </a:gs>
            <a:gs pos="100000">
              <a:schemeClr val="bg1"/>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21</xdr:col>
          <xdr:colOff>295275</xdr:colOff>
          <xdr:row>4</xdr:row>
          <xdr:rowOff>0</xdr:rowOff>
        </xdr:from>
        <xdr:to>
          <xdr:col>22</xdr:col>
          <xdr:colOff>523875</xdr:colOff>
          <xdr:row>5</xdr:row>
          <xdr:rowOff>85725</xdr:rowOff>
        </xdr:to>
        <xdr:sp macro="" textlink="">
          <xdr:nvSpPr>
            <xdr:cNvPr id="24591" name="tab_database" hidden="1">
              <a:extLst>
                <a:ext uri="{63B3BB69-23CF-44E3-9099-C40C66FF867C}">
                  <a14:compatExt spid="_x0000_s2459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400050</xdr:colOff>
          <xdr:row>2</xdr:row>
          <xdr:rowOff>152400</xdr:rowOff>
        </xdr:from>
        <xdr:to>
          <xdr:col>11</xdr:col>
          <xdr:colOff>47625</xdr:colOff>
          <xdr:row>2</xdr:row>
          <xdr:rowOff>419100</xdr:rowOff>
        </xdr:to>
        <xdr:sp macro="" textlink="">
          <xdr:nvSpPr>
            <xdr:cNvPr id="34818" name="tab_main_menu" hidden="1">
              <a:extLst>
                <a:ext uri="{63B3BB69-23CF-44E3-9099-C40C66FF867C}">
                  <a14:compatExt spid="_x0000_s34818"/>
                </a:ext>
              </a:extLst>
            </xdr:cNvPr>
            <xdr:cNvSpPr/>
          </xdr:nvSpPr>
          <xdr:spPr>
            <a:xfrm>
              <a:off x="0" y="0"/>
              <a:ext cx="0" cy="0"/>
            </a:xfrm>
            <a:prstGeom prst="rect">
              <a:avLst/>
            </a:prstGeom>
          </xdr:spPr>
        </xdr:sp>
        <xdr:clientData fPrintsWithSheet="0"/>
      </xdr:twoCellAnchor>
    </mc:Choice>
    <mc:Fallback/>
  </mc:AlternateContent>
  <xdr:twoCellAnchor editAs="absolute">
    <xdr:from>
      <xdr:col>8</xdr:col>
      <xdr:colOff>47625</xdr:colOff>
      <xdr:row>3</xdr:row>
      <xdr:rowOff>19050</xdr:rowOff>
    </xdr:from>
    <xdr:to>
      <xdr:col>11</xdr:col>
      <xdr:colOff>47625</xdr:colOff>
      <xdr:row>13</xdr:row>
      <xdr:rowOff>28575</xdr:rowOff>
    </xdr:to>
    <mc:AlternateContent xmlns:mc="http://schemas.openxmlformats.org/markup-compatibility/2006" xmlns:a14="http://schemas.microsoft.com/office/drawing/2010/main">
      <mc:Choice Requires="a14">
        <xdr:graphicFrame macro="">
          <xdr:nvGraphicFramePr>
            <xdr:cNvPr id="4" name="Period 3">
              <a:extLst>
                <a:ext uri="{FF2B5EF4-FFF2-40B4-BE49-F238E27FC236}">
                  <a16:creationId xmlns:a16="http://schemas.microsoft.com/office/drawing/2014/main" xmlns="" id="{00000000-0008-0000-01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eriod 3"/>
            </a:graphicData>
          </a:graphic>
        </xdr:graphicFrame>
      </mc:Choice>
      <mc:Fallback xmlns="">
        <xdr:sp macro="" textlink="">
          <xdr:nvSpPr>
            <xdr:cNvPr id="0" name=""/>
            <xdr:cNvSpPr>
              <a:spLocks noTextEdit="1"/>
            </xdr:cNvSpPr>
          </xdr:nvSpPr>
          <xdr:spPr>
            <a:xfrm>
              <a:off x="5743575" y="1047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oneCell">
        <xdr:from>
          <xdr:col>8</xdr:col>
          <xdr:colOff>514350</xdr:colOff>
          <xdr:row>0</xdr:row>
          <xdr:rowOff>95250</xdr:rowOff>
        </xdr:from>
        <xdr:to>
          <xdr:col>11</xdr:col>
          <xdr:colOff>38100</xdr:colOff>
          <xdr:row>2</xdr:row>
          <xdr:rowOff>19050</xdr:rowOff>
        </xdr:to>
        <xdr:sp macro="" textlink="">
          <xdr:nvSpPr>
            <xdr:cNvPr id="34819" name="tab_save_pdf" hidden="1">
              <a:extLst>
                <a:ext uri="{63B3BB69-23CF-44E3-9099-C40C66FF867C}">
                  <a14:compatExt spid="_x0000_s34819"/>
                </a:ext>
              </a:extLst>
            </xdr:cNvPr>
            <xdr:cNvSpPr/>
          </xdr:nvSpPr>
          <xdr:spPr>
            <a:xfrm>
              <a:off x="0" y="0"/>
              <a:ext cx="0" cy="0"/>
            </a:xfrm>
            <a:prstGeom prst="rect">
              <a:avLst/>
            </a:prstGeom>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0</xdr:row>
          <xdr:rowOff>57150</xdr:rowOff>
        </xdr:from>
        <xdr:to>
          <xdr:col>0</xdr:col>
          <xdr:colOff>952500</xdr:colOff>
          <xdr:row>1</xdr:row>
          <xdr:rowOff>133350</xdr:rowOff>
        </xdr:to>
        <xdr:sp macro="" textlink="">
          <xdr:nvSpPr>
            <xdr:cNvPr id="2050" name="tab_main_menu"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847725</xdr:colOff>
          <xdr:row>2</xdr:row>
          <xdr:rowOff>152400</xdr:rowOff>
        </xdr:from>
        <xdr:to>
          <xdr:col>10</xdr:col>
          <xdr:colOff>876300</xdr:colOff>
          <xdr:row>4</xdr:row>
          <xdr:rowOff>66675</xdr:rowOff>
        </xdr:to>
        <xdr:sp macro="" textlink="">
          <xdr:nvSpPr>
            <xdr:cNvPr id="2052" name="tab_report"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twoCellAnchor editAs="oneCell">
    <xdr:from>
      <xdr:col>0</xdr:col>
      <xdr:colOff>19050</xdr:colOff>
      <xdr:row>23</xdr:row>
      <xdr:rowOff>19050</xdr:rowOff>
    </xdr:from>
    <xdr:to>
      <xdr:col>1</xdr:col>
      <xdr:colOff>485775</xdr:colOff>
      <xdr:row>36</xdr:row>
      <xdr:rowOff>66675</xdr:rowOff>
    </xdr:to>
    <mc:AlternateContent xmlns:mc="http://schemas.openxmlformats.org/markup-compatibility/2006" xmlns:a14="http://schemas.microsoft.com/office/drawing/2010/main">
      <mc:Choice Requires="a14">
        <xdr:graphicFrame macro="">
          <xdr:nvGraphicFramePr>
            <xdr:cNvPr id="3" name="Period">
              <a:extLst>
                <a:ext uri="{FF2B5EF4-FFF2-40B4-BE49-F238E27FC236}">
                  <a16:creationId xmlns:a16="http://schemas.microsoft.com/office/drawing/2014/main" xmlns="" id="{00000000-0008-0000-04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eriod"/>
            </a:graphicData>
          </a:graphic>
        </xdr:graphicFrame>
      </mc:Choice>
      <mc:Fallback xmlns="">
        <xdr:sp macro="" textlink="">
          <xdr:nvSpPr>
            <xdr:cNvPr id="0" name=""/>
            <xdr:cNvSpPr>
              <a:spLocks noTextEdit="1"/>
            </xdr:cNvSpPr>
          </xdr:nvSpPr>
          <xdr:spPr>
            <a:xfrm>
              <a:off x="19050" y="3829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104775</xdr:colOff>
          <xdr:row>2</xdr:row>
          <xdr:rowOff>152400</xdr:rowOff>
        </xdr:from>
        <xdr:to>
          <xdr:col>0</xdr:col>
          <xdr:colOff>1333500</xdr:colOff>
          <xdr:row>4</xdr:row>
          <xdr:rowOff>66675</xdr:rowOff>
        </xdr:to>
        <xdr:sp macro="" textlink="">
          <xdr:nvSpPr>
            <xdr:cNvPr id="2054" name="menu_risiko_strategis"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xdr:row>
          <xdr:rowOff>152400</xdr:rowOff>
        </xdr:from>
        <xdr:to>
          <xdr:col>2</xdr:col>
          <xdr:colOff>533400</xdr:colOff>
          <xdr:row>4</xdr:row>
          <xdr:rowOff>66675</xdr:rowOff>
        </xdr:to>
        <xdr:sp macro="" textlink="">
          <xdr:nvSpPr>
            <xdr:cNvPr id="2055" name="menu_risiko_operasional"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666750</xdr:colOff>
          <xdr:row>2</xdr:row>
          <xdr:rowOff>152400</xdr:rowOff>
        </xdr:from>
        <xdr:to>
          <xdr:col>3</xdr:col>
          <xdr:colOff>914400</xdr:colOff>
          <xdr:row>4</xdr:row>
          <xdr:rowOff>66675</xdr:rowOff>
        </xdr:to>
        <xdr:sp macro="" textlink="">
          <xdr:nvSpPr>
            <xdr:cNvPr id="2056" name="menu_risiko_hukum"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295275</xdr:colOff>
          <xdr:row>2</xdr:row>
          <xdr:rowOff>152400</xdr:rowOff>
        </xdr:from>
        <xdr:to>
          <xdr:col>6</xdr:col>
          <xdr:colOff>685800</xdr:colOff>
          <xdr:row>4</xdr:row>
          <xdr:rowOff>66675</xdr:rowOff>
        </xdr:to>
        <xdr:sp macro="" textlink="">
          <xdr:nvSpPr>
            <xdr:cNvPr id="2057" name="menu_risiko_reputasi"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1019175</xdr:colOff>
          <xdr:row>2</xdr:row>
          <xdr:rowOff>152400</xdr:rowOff>
        </xdr:from>
        <xdr:to>
          <xdr:col>5</xdr:col>
          <xdr:colOff>171450</xdr:colOff>
          <xdr:row>4</xdr:row>
          <xdr:rowOff>66675</xdr:rowOff>
        </xdr:to>
        <xdr:sp macro="" textlink="">
          <xdr:nvSpPr>
            <xdr:cNvPr id="2058" name="menu_risiko_kepatuhan"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695325</xdr:colOff>
      <xdr:row>1</xdr:row>
      <xdr:rowOff>152400</xdr:rowOff>
    </xdr:from>
    <xdr:to>
      <xdr:col>10</xdr:col>
      <xdr:colOff>400050</xdr:colOff>
      <xdr:row>17</xdr:row>
      <xdr:rowOff>95250</xdr:rowOff>
    </xdr:to>
    <xdr:graphicFrame macro="">
      <xdr:nvGraphicFramePr>
        <xdr:cNvPr id="2" name="Chart 1">
          <a:extLst>
            <a:ext uri="{FF2B5EF4-FFF2-40B4-BE49-F238E27FC236}">
              <a16:creationId xmlns:a16="http://schemas.microsoft.com/office/drawing/2014/main" xmlns=""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104775</xdr:colOff>
      <xdr:row>12</xdr:row>
      <xdr:rowOff>85725</xdr:rowOff>
    </xdr:from>
    <xdr:to>
      <xdr:col>1</xdr:col>
      <xdr:colOff>752475</xdr:colOff>
      <xdr:row>25</xdr:row>
      <xdr:rowOff>133350</xdr:rowOff>
    </xdr:to>
    <mc:AlternateContent xmlns:mc="http://schemas.openxmlformats.org/markup-compatibility/2006" xmlns:a14="http://schemas.microsoft.com/office/drawing/2010/main">
      <mc:Choice Requires="a14">
        <xdr:graphicFrame macro="">
          <xdr:nvGraphicFramePr>
            <xdr:cNvPr id="3" name="Risiko">
              <a:extLst>
                <a:ext uri="{FF2B5EF4-FFF2-40B4-BE49-F238E27FC236}">
                  <a16:creationId xmlns:a16="http://schemas.microsoft.com/office/drawing/2014/main" xmlns="" id="{00000000-0008-0000-02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isiko"/>
            </a:graphicData>
          </a:graphic>
        </xdr:graphicFrame>
      </mc:Choice>
      <mc:Fallback xmlns="">
        <xdr:sp macro="" textlink="">
          <xdr:nvSpPr>
            <xdr:cNvPr id="0" name=""/>
            <xdr:cNvSpPr>
              <a:spLocks noTextEdit="1"/>
            </xdr:cNvSpPr>
          </xdr:nvSpPr>
          <xdr:spPr>
            <a:xfrm>
              <a:off x="104775" y="23717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981075</xdr:colOff>
      <xdr:row>12</xdr:row>
      <xdr:rowOff>85725</xdr:rowOff>
    </xdr:from>
    <xdr:to>
      <xdr:col>3</xdr:col>
      <xdr:colOff>790575</xdr:colOff>
      <xdr:row>25</xdr:row>
      <xdr:rowOff>133350</xdr:rowOff>
    </xdr:to>
    <mc:AlternateContent xmlns:mc="http://schemas.openxmlformats.org/markup-compatibility/2006" xmlns:a14="http://schemas.microsoft.com/office/drawing/2010/main">
      <mc:Choice Requires="a14">
        <xdr:graphicFrame macro="">
          <xdr:nvGraphicFramePr>
            <xdr:cNvPr id="6" name="Period 1">
              <a:extLst>
                <a:ext uri="{FF2B5EF4-FFF2-40B4-BE49-F238E27FC236}">
                  <a16:creationId xmlns:a16="http://schemas.microsoft.com/office/drawing/2014/main" xmlns="" id="{00000000-0008-0000-02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eriod 1"/>
            </a:graphicData>
          </a:graphic>
        </xdr:graphicFrame>
      </mc:Choice>
      <mc:Fallback xmlns="">
        <xdr:sp macro="" textlink="">
          <xdr:nvSpPr>
            <xdr:cNvPr id="0" name=""/>
            <xdr:cNvSpPr>
              <a:spLocks noTextEdit="1"/>
            </xdr:cNvSpPr>
          </xdr:nvSpPr>
          <xdr:spPr>
            <a:xfrm>
              <a:off x="2162175" y="23717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85725</xdr:colOff>
          <xdr:row>0</xdr:row>
          <xdr:rowOff>57150</xdr:rowOff>
        </xdr:from>
        <xdr:to>
          <xdr:col>0</xdr:col>
          <xdr:colOff>952500</xdr:colOff>
          <xdr:row>1</xdr:row>
          <xdr:rowOff>133350</xdr:rowOff>
        </xdr:to>
        <xdr:sp macro="" textlink="">
          <xdr:nvSpPr>
            <xdr:cNvPr id="35841" name="tab_main_menu" hidden="1">
              <a:extLst>
                <a:ext uri="{63B3BB69-23CF-44E3-9099-C40C66FF867C}">
                  <a14:compatExt spid="_x0000_s358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18</xdr:row>
          <xdr:rowOff>85725</xdr:rowOff>
        </xdr:from>
        <xdr:to>
          <xdr:col>10</xdr:col>
          <xdr:colOff>466725</xdr:colOff>
          <xdr:row>19</xdr:row>
          <xdr:rowOff>161925</xdr:rowOff>
        </xdr:to>
        <xdr:sp macro="" textlink="">
          <xdr:nvSpPr>
            <xdr:cNvPr id="35844" name="menu_risiko_strategis" hidden="1">
              <a:extLst>
                <a:ext uri="{63B3BB69-23CF-44E3-9099-C40C66FF867C}">
                  <a14:compatExt spid="_x0000_s358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104775</xdr:rowOff>
        </xdr:from>
        <xdr:to>
          <xdr:col>10</xdr:col>
          <xdr:colOff>476250</xdr:colOff>
          <xdr:row>21</xdr:row>
          <xdr:rowOff>180975</xdr:rowOff>
        </xdr:to>
        <xdr:sp macro="" textlink="">
          <xdr:nvSpPr>
            <xdr:cNvPr id="35845" name="menu_risiko_operasional" hidden="1">
              <a:extLst>
                <a:ext uri="{63B3BB69-23CF-44E3-9099-C40C66FF867C}">
                  <a14:compatExt spid="_x0000_s358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22</xdr:row>
          <xdr:rowOff>123825</xdr:rowOff>
        </xdr:from>
        <xdr:to>
          <xdr:col>10</xdr:col>
          <xdr:colOff>476250</xdr:colOff>
          <xdr:row>24</xdr:row>
          <xdr:rowOff>9525</xdr:rowOff>
        </xdr:to>
        <xdr:sp macro="" textlink="">
          <xdr:nvSpPr>
            <xdr:cNvPr id="35846" name="menu_risiko_hukum" hidden="1">
              <a:extLst>
                <a:ext uri="{63B3BB69-23CF-44E3-9099-C40C66FF867C}">
                  <a14:compatExt spid="_x0000_s358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161925</xdr:colOff>
          <xdr:row>26</xdr:row>
          <xdr:rowOff>161925</xdr:rowOff>
        </xdr:from>
        <xdr:to>
          <xdr:col>10</xdr:col>
          <xdr:colOff>476250</xdr:colOff>
          <xdr:row>28</xdr:row>
          <xdr:rowOff>47625</xdr:rowOff>
        </xdr:to>
        <xdr:sp macro="" textlink="">
          <xdr:nvSpPr>
            <xdr:cNvPr id="35847" name="menu_risiko_reputasi" hidden="1">
              <a:extLst>
                <a:ext uri="{63B3BB69-23CF-44E3-9099-C40C66FF867C}">
                  <a14:compatExt spid="_x0000_s358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24</xdr:row>
          <xdr:rowOff>142875</xdr:rowOff>
        </xdr:from>
        <xdr:to>
          <xdr:col>10</xdr:col>
          <xdr:colOff>476250</xdr:colOff>
          <xdr:row>26</xdr:row>
          <xdr:rowOff>28575</xdr:rowOff>
        </xdr:to>
        <xdr:sp macro="" textlink="">
          <xdr:nvSpPr>
            <xdr:cNvPr id="35848" name="menu_risiko_kepatuhan" hidden="1">
              <a:extLst>
                <a:ext uri="{63B3BB69-23CF-44E3-9099-C40C66FF867C}">
                  <a14:compatExt spid="_x0000_s35848"/>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104775</xdr:colOff>
      <xdr:row>12</xdr:row>
      <xdr:rowOff>85725</xdr:rowOff>
    </xdr:from>
    <xdr:to>
      <xdr:col>1</xdr:col>
      <xdr:colOff>752475</xdr:colOff>
      <xdr:row>25</xdr:row>
      <xdr:rowOff>133350</xdr:rowOff>
    </xdr:to>
    <mc:AlternateContent xmlns:mc="http://schemas.openxmlformats.org/markup-compatibility/2006" xmlns:a14="http://schemas.microsoft.com/office/drawing/2010/main">
      <mc:Choice Requires="a14">
        <xdr:graphicFrame macro="">
          <xdr:nvGraphicFramePr>
            <xdr:cNvPr id="2" name="Risiko 1">
              <a:extLst>
                <a:ext uri="{FF2B5EF4-FFF2-40B4-BE49-F238E27FC236}">
                  <a16:creationId xmlns:a16="http://schemas.microsoft.com/office/drawing/2014/main" xmlns="" id="{00000000-0008-0000-03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isiko 1"/>
            </a:graphicData>
          </a:graphic>
        </xdr:graphicFrame>
      </mc:Choice>
      <mc:Fallback xmlns="">
        <xdr:sp macro="" textlink="">
          <xdr:nvSpPr>
            <xdr:cNvPr id="0" name=""/>
            <xdr:cNvSpPr>
              <a:spLocks noTextEdit="1"/>
            </xdr:cNvSpPr>
          </xdr:nvSpPr>
          <xdr:spPr>
            <a:xfrm>
              <a:off x="104775" y="23717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981075</xdr:colOff>
      <xdr:row>12</xdr:row>
      <xdr:rowOff>85725</xdr:rowOff>
    </xdr:from>
    <xdr:to>
      <xdr:col>11</xdr:col>
      <xdr:colOff>104775</xdr:colOff>
      <xdr:row>25</xdr:row>
      <xdr:rowOff>133350</xdr:rowOff>
    </xdr:to>
    <mc:AlternateContent xmlns:mc="http://schemas.openxmlformats.org/markup-compatibility/2006" xmlns:a14="http://schemas.microsoft.com/office/drawing/2010/main">
      <mc:Choice Requires="a14">
        <xdr:graphicFrame macro="">
          <xdr:nvGraphicFramePr>
            <xdr:cNvPr id="3" name="Period 2">
              <a:extLst>
                <a:ext uri="{FF2B5EF4-FFF2-40B4-BE49-F238E27FC236}">
                  <a16:creationId xmlns:a16="http://schemas.microsoft.com/office/drawing/2014/main" xmlns="" id="{00000000-0008-0000-0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eriod 2"/>
            </a:graphicData>
          </a:graphic>
        </xdr:graphicFrame>
      </mc:Choice>
      <mc:Fallback xmlns="">
        <xdr:sp macro="" textlink="">
          <xdr:nvSpPr>
            <xdr:cNvPr id="0" name=""/>
            <xdr:cNvSpPr>
              <a:spLocks noTextEdit="1"/>
            </xdr:cNvSpPr>
          </xdr:nvSpPr>
          <xdr:spPr>
            <a:xfrm>
              <a:off x="2162175" y="23717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542925</xdr:colOff>
      <xdr:row>1</xdr:row>
      <xdr:rowOff>161925</xdr:rowOff>
    </xdr:from>
    <xdr:to>
      <xdr:col>17</xdr:col>
      <xdr:colOff>514350</xdr:colOff>
      <xdr:row>17</xdr:row>
      <xdr:rowOff>28575</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0</xdr:row>
          <xdr:rowOff>57150</xdr:rowOff>
        </xdr:from>
        <xdr:to>
          <xdr:col>0</xdr:col>
          <xdr:colOff>952500</xdr:colOff>
          <xdr:row>1</xdr:row>
          <xdr:rowOff>133350</xdr:rowOff>
        </xdr:to>
        <xdr:sp macro="" textlink="">
          <xdr:nvSpPr>
            <xdr:cNvPr id="36865" name="tab_main_menu"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18</xdr:row>
          <xdr:rowOff>76200</xdr:rowOff>
        </xdr:from>
        <xdr:to>
          <xdr:col>15</xdr:col>
          <xdr:colOff>247650</xdr:colOff>
          <xdr:row>19</xdr:row>
          <xdr:rowOff>152400</xdr:rowOff>
        </xdr:to>
        <xdr:sp macro="" textlink="">
          <xdr:nvSpPr>
            <xdr:cNvPr id="36866" name="menu_risiko_strategis" hidden="1">
              <a:extLst>
                <a:ext uri="{63B3BB69-23CF-44E3-9099-C40C66FF867C}">
                  <a14:compatExt spid="_x0000_s368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20</xdr:row>
          <xdr:rowOff>95250</xdr:rowOff>
        </xdr:from>
        <xdr:to>
          <xdr:col>15</xdr:col>
          <xdr:colOff>257175</xdr:colOff>
          <xdr:row>21</xdr:row>
          <xdr:rowOff>171450</xdr:rowOff>
        </xdr:to>
        <xdr:sp macro="" textlink="">
          <xdr:nvSpPr>
            <xdr:cNvPr id="36867" name="menu_risiko_operasional" hidden="1">
              <a:extLst>
                <a:ext uri="{63B3BB69-23CF-44E3-9099-C40C66FF867C}">
                  <a14:compatExt spid="_x0000_s368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561975</xdr:colOff>
          <xdr:row>22</xdr:row>
          <xdr:rowOff>114300</xdr:rowOff>
        </xdr:from>
        <xdr:to>
          <xdr:col>15</xdr:col>
          <xdr:colOff>257175</xdr:colOff>
          <xdr:row>24</xdr:row>
          <xdr:rowOff>0</xdr:rowOff>
        </xdr:to>
        <xdr:sp macro="" textlink="">
          <xdr:nvSpPr>
            <xdr:cNvPr id="36868" name="menu_risiko_hukum" hidden="1">
              <a:extLst>
                <a:ext uri="{63B3BB69-23CF-44E3-9099-C40C66FF867C}">
                  <a14:compatExt spid="_x0000_s368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26</xdr:row>
          <xdr:rowOff>152400</xdr:rowOff>
        </xdr:from>
        <xdr:to>
          <xdr:col>15</xdr:col>
          <xdr:colOff>257175</xdr:colOff>
          <xdr:row>28</xdr:row>
          <xdr:rowOff>38100</xdr:rowOff>
        </xdr:to>
        <xdr:sp macro="" textlink="">
          <xdr:nvSpPr>
            <xdr:cNvPr id="36869" name="menu_risiko_reputasi" hidden="1">
              <a:extLst>
                <a:ext uri="{63B3BB69-23CF-44E3-9099-C40C66FF867C}">
                  <a14:compatExt spid="_x0000_s368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352425</xdr:colOff>
          <xdr:row>24</xdr:row>
          <xdr:rowOff>133350</xdr:rowOff>
        </xdr:from>
        <xdr:to>
          <xdr:col>15</xdr:col>
          <xdr:colOff>257175</xdr:colOff>
          <xdr:row>26</xdr:row>
          <xdr:rowOff>19050</xdr:rowOff>
        </xdr:to>
        <xdr:sp macro="" textlink="">
          <xdr:nvSpPr>
            <xdr:cNvPr id="36870" name="menu_risiko_kepatuhan" hidden="1">
              <a:extLst>
                <a:ext uri="{63B3BB69-23CF-44E3-9099-C40C66FF867C}">
                  <a14:compatExt spid="_x0000_s3687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0</xdr:row>
          <xdr:rowOff>57150</xdr:rowOff>
        </xdr:from>
        <xdr:to>
          <xdr:col>2</xdr:col>
          <xdr:colOff>276225</xdr:colOff>
          <xdr:row>0</xdr:row>
          <xdr:rowOff>323850</xdr:rowOff>
        </xdr:to>
        <xdr:sp macro="" textlink="">
          <xdr:nvSpPr>
            <xdr:cNvPr id="11317" name="tab_main_menu" hidden="1">
              <a:extLst>
                <a:ext uri="{63B3BB69-23CF-44E3-9099-C40C66FF867C}">
                  <a14:compatExt spid="_x0000_s11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xdr:row>
          <xdr:rowOff>9525</xdr:rowOff>
        </xdr:from>
        <xdr:to>
          <xdr:col>4</xdr:col>
          <xdr:colOff>800100</xdr:colOff>
          <xdr:row>2</xdr:row>
          <xdr:rowOff>9525</xdr:rowOff>
        </xdr:to>
        <xdr:sp macro="" textlink="">
          <xdr:nvSpPr>
            <xdr:cNvPr id="11319" name="pilih_periode_strategis" hidden="1">
              <a:extLst>
                <a:ext uri="{63B3BB69-23CF-44E3-9099-C40C66FF867C}">
                  <a14:compatExt spid="_x0000_s11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xdr:row>
          <xdr:rowOff>38100</xdr:rowOff>
        </xdr:from>
        <xdr:to>
          <xdr:col>2</xdr:col>
          <xdr:colOff>171450</xdr:colOff>
          <xdr:row>4</xdr:row>
          <xdr:rowOff>133350</xdr:rowOff>
        </xdr:to>
        <xdr:sp macro="" textlink="">
          <xdr:nvSpPr>
            <xdr:cNvPr id="11320" name="kpmr_strategis" hidden="1">
              <a:extLst>
                <a:ext uri="{63B3BB69-23CF-44E3-9099-C40C66FF867C}">
                  <a14:compatExt spid="_x0000_s11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xdr:row>
          <xdr:rowOff>38100</xdr:rowOff>
        </xdr:from>
        <xdr:to>
          <xdr:col>3</xdr:col>
          <xdr:colOff>361950</xdr:colOff>
          <xdr:row>4</xdr:row>
          <xdr:rowOff>133350</xdr:rowOff>
        </xdr:to>
        <xdr:sp macro="" textlink="">
          <xdr:nvSpPr>
            <xdr:cNvPr id="11321" name="filter_peringkat_strategis" hidden="1">
              <a:extLst>
                <a:ext uri="{63B3BB69-23CF-44E3-9099-C40C66FF867C}">
                  <a14:compatExt spid="_x0000_s11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3</xdr:row>
          <xdr:rowOff>38100</xdr:rowOff>
        </xdr:from>
        <xdr:to>
          <xdr:col>3</xdr:col>
          <xdr:colOff>1704975</xdr:colOff>
          <xdr:row>4</xdr:row>
          <xdr:rowOff>133350</xdr:rowOff>
        </xdr:to>
        <xdr:sp macro="" textlink="">
          <xdr:nvSpPr>
            <xdr:cNvPr id="11322" name="filter_indikator_strategis" hidden="1">
              <a:extLst>
                <a:ext uri="{63B3BB69-23CF-44E3-9099-C40C66FF867C}">
                  <a14:compatExt spid="_x0000_s11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3</xdr:row>
          <xdr:rowOff>38100</xdr:rowOff>
        </xdr:from>
        <xdr:to>
          <xdr:col>5</xdr:col>
          <xdr:colOff>733425</xdr:colOff>
          <xdr:row>4</xdr:row>
          <xdr:rowOff>133350</xdr:rowOff>
        </xdr:to>
        <xdr:sp macro="" textlink="">
          <xdr:nvSpPr>
            <xdr:cNvPr id="11323" name="filter_blank_strategis" hidden="1">
              <a:extLst>
                <a:ext uri="{63B3BB69-23CF-44E3-9099-C40C66FF867C}">
                  <a14:compatExt spid="_x0000_s11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3</xdr:row>
          <xdr:rowOff>38100</xdr:rowOff>
        </xdr:from>
        <xdr:to>
          <xdr:col>4</xdr:col>
          <xdr:colOff>666750</xdr:colOff>
          <xdr:row>4</xdr:row>
          <xdr:rowOff>133350</xdr:rowOff>
        </xdr:to>
        <xdr:sp macro="" textlink="">
          <xdr:nvSpPr>
            <xdr:cNvPr id="11324" name="clear_filter_strategis" hidden="1">
              <a:extLst>
                <a:ext uri="{63B3BB69-23CF-44E3-9099-C40C66FF867C}">
                  <a14:compatExt spid="_x0000_s11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2</xdr:row>
          <xdr:rowOff>152400</xdr:rowOff>
        </xdr:from>
        <xdr:to>
          <xdr:col>10</xdr:col>
          <xdr:colOff>704850</xdr:colOff>
          <xdr:row>4</xdr:row>
          <xdr:rowOff>38100</xdr:rowOff>
        </xdr:to>
        <xdr:sp macro="" textlink="">
          <xdr:nvSpPr>
            <xdr:cNvPr id="11325" name="submit_strategis" hidden="1">
              <a:extLst>
                <a:ext uri="{63B3BB69-23CF-44E3-9099-C40C66FF867C}">
                  <a14:compatExt spid="_x0000_s11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0</xdr:row>
          <xdr:rowOff>57150</xdr:rowOff>
        </xdr:from>
        <xdr:to>
          <xdr:col>6</xdr:col>
          <xdr:colOff>1266825</xdr:colOff>
          <xdr:row>0</xdr:row>
          <xdr:rowOff>323850</xdr:rowOff>
        </xdr:to>
        <xdr:sp macro="" textlink="">
          <xdr:nvSpPr>
            <xdr:cNvPr id="11328" name="tab_chart" hidden="1">
              <a:extLst>
                <a:ext uri="{63B3BB69-23CF-44E3-9099-C40C66FF867C}">
                  <a14:compatExt spid="_x0000_s11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0</xdr:row>
          <xdr:rowOff>57150</xdr:rowOff>
        </xdr:from>
        <xdr:to>
          <xdr:col>7</xdr:col>
          <xdr:colOff>771525</xdr:colOff>
          <xdr:row>0</xdr:row>
          <xdr:rowOff>323850</xdr:rowOff>
        </xdr:to>
        <xdr:sp macro="" textlink="">
          <xdr:nvSpPr>
            <xdr:cNvPr id="11330" name="tab_grafik" hidden="1">
              <a:extLst>
                <a:ext uri="{63B3BB69-23CF-44E3-9099-C40C66FF867C}">
                  <a14:compatExt spid="_x0000_s11330"/>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0</xdr:row>
          <xdr:rowOff>57150</xdr:rowOff>
        </xdr:from>
        <xdr:to>
          <xdr:col>2</xdr:col>
          <xdr:colOff>276225</xdr:colOff>
          <xdr:row>0</xdr:row>
          <xdr:rowOff>323850</xdr:rowOff>
        </xdr:to>
        <xdr:sp macro="" textlink="">
          <xdr:nvSpPr>
            <xdr:cNvPr id="20504" name="tab_main_menu" hidden="1">
              <a:extLst>
                <a:ext uri="{63B3BB69-23CF-44E3-9099-C40C66FF867C}">
                  <a14:compatExt spid="_x0000_s205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xdr:row>
          <xdr:rowOff>9525</xdr:rowOff>
        </xdr:from>
        <xdr:to>
          <xdr:col>4</xdr:col>
          <xdr:colOff>800100</xdr:colOff>
          <xdr:row>2</xdr:row>
          <xdr:rowOff>9525</xdr:rowOff>
        </xdr:to>
        <xdr:sp macro="" textlink="">
          <xdr:nvSpPr>
            <xdr:cNvPr id="20505" name="pilih_periode_operasional" hidden="1">
              <a:extLst>
                <a:ext uri="{63B3BB69-23CF-44E3-9099-C40C66FF867C}">
                  <a14:compatExt spid="_x0000_s20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xdr:row>
          <xdr:rowOff>38100</xdr:rowOff>
        </xdr:from>
        <xdr:to>
          <xdr:col>2</xdr:col>
          <xdr:colOff>171450</xdr:colOff>
          <xdr:row>4</xdr:row>
          <xdr:rowOff>133350</xdr:rowOff>
        </xdr:to>
        <xdr:sp macro="" textlink="">
          <xdr:nvSpPr>
            <xdr:cNvPr id="20506" name="kpmr_operasional" hidden="1">
              <a:extLst>
                <a:ext uri="{63B3BB69-23CF-44E3-9099-C40C66FF867C}">
                  <a14:compatExt spid="_x0000_s20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xdr:row>
          <xdr:rowOff>38100</xdr:rowOff>
        </xdr:from>
        <xdr:to>
          <xdr:col>3</xdr:col>
          <xdr:colOff>361950</xdr:colOff>
          <xdr:row>4</xdr:row>
          <xdr:rowOff>133350</xdr:rowOff>
        </xdr:to>
        <xdr:sp macro="" textlink="">
          <xdr:nvSpPr>
            <xdr:cNvPr id="20507" name="filter_peringkat_operasional" hidden="1">
              <a:extLst>
                <a:ext uri="{63B3BB69-23CF-44E3-9099-C40C66FF867C}">
                  <a14:compatExt spid="_x0000_s20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3</xdr:row>
          <xdr:rowOff>38100</xdr:rowOff>
        </xdr:from>
        <xdr:to>
          <xdr:col>3</xdr:col>
          <xdr:colOff>1704975</xdr:colOff>
          <xdr:row>4</xdr:row>
          <xdr:rowOff>133350</xdr:rowOff>
        </xdr:to>
        <xdr:sp macro="" textlink="">
          <xdr:nvSpPr>
            <xdr:cNvPr id="20508" name="filter_indikator_operasional" hidden="1">
              <a:extLst>
                <a:ext uri="{63B3BB69-23CF-44E3-9099-C40C66FF867C}">
                  <a14:compatExt spid="_x0000_s20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3</xdr:row>
          <xdr:rowOff>38100</xdr:rowOff>
        </xdr:from>
        <xdr:to>
          <xdr:col>5</xdr:col>
          <xdr:colOff>733425</xdr:colOff>
          <xdr:row>4</xdr:row>
          <xdr:rowOff>133350</xdr:rowOff>
        </xdr:to>
        <xdr:sp macro="" textlink="">
          <xdr:nvSpPr>
            <xdr:cNvPr id="20509" name="filter_blank_operasional" hidden="1">
              <a:extLst>
                <a:ext uri="{63B3BB69-23CF-44E3-9099-C40C66FF867C}">
                  <a14:compatExt spid="_x0000_s20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3</xdr:row>
          <xdr:rowOff>38100</xdr:rowOff>
        </xdr:from>
        <xdr:to>
          <xdr:col>4</xdr:col>
          <xdr:colOff>666750</xdr:colOff>
          <xdr:row>4</xdr:row>
          <xdr:rowOff>133350</xdr:rowOff>
        </xdr:to>
        <xdr:sp macro="" textlink="">
          <xdr:nvSpPr>
            <xdr:cNvPr id="20510" name="clear_filter_operasional" hidden="1">
              <a:extLst>
                <a:ext uri="{63B3BB69-23CF-44E3-9099-C40C66FF867C}">
                  <a14:compatExt spid="_x0000_s20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2</xdr:row>
          <xdr:rowOff>152400</xdr:rowOff>
        </xdr:from>
        <xdr:to>
          <xdr:col>10</xdr:col>
          <xdr:colOff>704850</xdr:colOff>
          <xdr:row>4</xdr:row>
          <xdr:rowOff>38100</xdr:rowOff>
        </xdr:to>
        <xdr:sp macro="" textlink="">
          <xdr:nvSpPr>
            <xdr:cNvPr id="20511" name="submit_operasional" hidden="1">
              <a:extLst>
                <a:ext uri="{63B3BB69-23CF-44E3-9099-C40C66FF867C}">
                  <a14:compatExt spid="_x0000_s20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0</xdr:row>
          <xdr:rowOff>57150</xdr:rowOff>
        </xdr:from>
        <xdr:to>
          <xdr:col>6</xdr:col>
          <xdr:colOff>1266825</xdr:colOff>
          <xdr:row>0</xdr:row>
          <xdr:rowOff>323850</xdr:rowOff>
        </xdr:to>
        <xdr:sp macro="" textlink="">
          <xdr:nvSpPr>
            <xdr:cNvPr id="20513" name="tab_chart" hidden="1">
              <a:extLst>
                <a:ext uri="{63B3BB69-23CF-44E3-9099-C40C66FF867C}">
                  <a14:compatExt spid="_x0000_s20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0</xdr:row>
          <xdr:rowOff>57150</xdr:rowOff>
        </xdr:from>
        <xdr:to>
          <xdr:col>7</xdr:col>
          <xdr:colOff>771525</xdr:colOff>
          <xdr:row>0</xdr:row>
          <xdr:rowOff>323850</xdr:rowOff>
        </xdr:to>
        <xdr:sp macro="" textlink="">
          <xdr:nvSpPr>
            <xdr:cNvPr id="20514" name="tab_grafik" hidden="1">
              <a:extLst>
                <a:ext uri="{63B3BB69-23CF-44E3-9099-C40C66FF867C}">
                  <a14:compatExt spid="_x0000_s20514"/>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0</xdr:row>
          <xdr:rowOff>57150</xdr:rowOff>
        </xdr:from>
        <xdr:to>
          <xdr:col>2</xdr:col>
          <xdr:colOff>276225</xdr:colOff>
          <xdr:row>0</xdr:row>
          <xdr:rowOff>323850</xdr:rowOff>
        </xdr:to>
        <xdr:sp macro="" textlink="">
          <xdr:nvSpPr>
            <xdr:cNvPr id="21518" name="tab_main_menu" hidden="1">
              <a:extLst>
                <a:ext uri="{63B3BB69-23CF-44E3-9099-C40C66FF867C}">
                  <a14:compatExt spid="_x0000_s21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xdr:row>
          <xdr:rowOff>9525</xdr:rowOff>
        </xdr:from>
        <xdr:to>
          <xdr:col>4</xdr:col>
          <xdr:colOff>800100</xdr:colOff>
          <xdr:row>2</xdr:row>
          <xdr:rowOff>9525</xdr:rowOff>
        </xdr:to>
        <xdr:sp macro="" textlink="">
          <xdr:nvSpPr>
            <xdr:cNvPr id="21519" name="pilih_periode_hukum" hidden="1">
              <a:extLst>
                <a:ext uri="{63B3BB69-23CF-44E3-9099-C40C66FF867C}">
                  <a14:compatExt spid="_x0000_s21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xdr:row>
          <xdr:rowOff>38100</xdr:rowOff>
        </xdr:from>
        <xdr:to>
          <xdr:col>2</xdr:col>
          <xdr:colOff>171450</xdr:colOff>
          <xdr:row>4</xdr:row>
          <xdr:rowOff>133350</xdr:rowOff>
        </xdr:to>
        <xdr:sp macro="" textlink="">
          <xdr:nvSpPr>
            <xdr:cNvPr id="21520" name="kpmr_hukum" hidden="1">
              <a:extLst>
                <a:ext uri="{63B3BB69-23CF-44E3-9099-C40C66FF867C}">
                  <a14:compatExt spid="_x0000_s21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xdr:row>
          <xdr:rowOff>38100</xdr:rowOff>
        </xdr:from>
        <xdr:to>
          <xdr:col>3</xdr:col>
          <xdr:colOff>361950</xdr:colOff>
          <xdr:row>4</xdr:row>
          <xdr:rowOff>133350</xdr:rowOff>
        </xdr:to>
        <xdr:sp macro="" textlink="">
          <xdr:nvSpPr>
            <xdr:cNvPr id="21521" name="filter_peringkat_hukum" hidden="1">
              <a:extLst>
                <a:ext uri="{63B3BB69-23CF-44E3-9099-C40C66FF867C}">
                  <a14:compatExt spid="_x0000_s21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3</xdr:row>
          <xdr:rowOff>38100</xdr:rowOff>
        </xdr:from>
        <xdr:to>
          <xdr:col>3</xdr:col>
          <xdr:colOff>1704975</xdr:colOff>
          <xdr:row>4</xdr:row>
          <xdr:rowOff>133350</xdr:rowOff>
        </xdr:to>
        <xdr:sp macro="" textlink="">
          <xdr:nvSpPr>
            <xdr:cNvPr id="21522" name="filter_indikator_hukum" hidden="1">
              <a:extLst>
                <a:ext uri="{63B3BB69-23CF-44E3-9099-C40C66FF867C}">
                  <a14:compatExt spid="_x0000_s21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3</xdr:row>
          <xdr:rowOff>38100</xdr:rowOff>
        </xdr:from>
        <xdr:to>
          <xdr:col>5</xdr:col>
          <xdr:colOff>733425</xdr:colOff>
          <xdr:row>4</xdr:row>
          <xdr:rowOff>133350</xdr:rowOff>
        </xdr:to>
        <xdr:sp macro="" textlink="">
          <xdr:nvSpPr>
            <xdr:cNvPr id="21523" name="filter_blank_hukum" hidden="1">
              <a:extLst>
                <a:ext uri="{63B3BB69-23CF-44E3-9099-C40C66FF867C}">
                  <a14:compatExt spid="_x0000_s21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3</xdr:row>
          <xdr:rowOff>38100</xdr:rowOff>
        </xdr:from>
        <xdr:to>
          <xdr:col>4</xdr:col>
          <xdr:colOff>666750</xdr:colOff>
          <xdr:row>4</xdr:row>
          <xdr:rowOff>133350</xdr:rowOff>
        </xdr:to>
        <xdr:sp macro="" textlink="">
          <xdr:nvSpPr>
            <xdr:cNvPr id="21524" name="clear_filter_hukum" hidden="1">
              <a:extLst>
                <a:ext uri="{63B3BB69-23CF-44E3-9099-C40C66FF867C}">
                  <a14:compatExt spid="_x0000_s21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2</xdr:row>
          <xdr:rowOff>152400</xdr:rowOff>
        </xdr:from>
        <xdr:to>
          <xdr:col>10</xdr:col>
          <xdr:colOff>704850</xdr:colOff>
          <xdr:row>4</xdr:row>
          <xdr:rowOff>38100</xdr:rowOff>
        </xdr:to>
        <xdr:sp macro="" textlink="">
          <xdr:nvSpPr>
            <xdr:cNvPr id="21525" name="submit_hukum" hidden="1">
              <a:extLst>
                <a:ext uri="{63B3BB69-23CF-44E3-9099-C40C66FF867C}">
                  <a14:compatExt spid="_x0000_s21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0</xdr:row>
          <xdr:rowOff>57150</xdr:rowOff>
        </xdr:from>
        <xdr:to>
          <xdr:col>6</xdr:col>
          <xdr:colOff>1266825</xdr:colOff>
          <xdr:row>0</xdr:row>
          <xdr:rowOff>323850</xdr:rowOff>
        </xdr:to>
        <xdr:sp macro="" textlink="">
          <xdr:nvSpPr>
            <xdr:cNvPr id="21529" name="tab_chart" hidden="1">
              <a:extLst>
                <a:ext uri="{63B3BB69-23CF-44E3-9099-C40C66FF867C}">
                  <a14:compatExt spid="_x0000_s21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0</xdr:row>
          <xdr:rowOff>57150</xdr:rowOff>
        </xdr:from>
        <xdr:to>
          <xdr:col>7</xdr:col>
          <xdr:colOff>771525</xdr:colOff>
          <xdr:row>0</xdr:row>
          <xdr:rowOff>323850</xdr:rowOff>
        </xdr:to>
        <xdr:sp macro="" textlink="">
          <xdr:nvSpPr>
            <xdr:cNvPr id="21530" name="tab_grafik" hidden="1">
              <a:extLst>
                <a:ext uri="{63B3BB69-23CF-44E3-9099-C40C66FF867C}">
                  <a14:compatExt spid="_x0000_s21530"/>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0</xdr:row>
          <xdr:rowOff>57150</xdr:rowOff>
        </xdr:from>
        <xdr:to>
          <xdr:col>2</xdr:col>
          <xdr:colOff>276225</xdr:colOff>
          <xdr:row>0</xdr:row>
          <xdr:rowOff>323850</xdr:rowOff>
        </xdr:to>
        <xdr:sp macro="" textlink="">
          <xdr:nvSpPr>
            <xdr:cNvPr id="22539" name="tab_main_menu" hidden="1">
              <a:extLst>
                <a:ext uri="{63B3BB69-23CF-44E3-9099-C40C66FF867C}">
                  <a14:compatExt spid="_x0000_s22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xdr:row>
          <xdr:rowOff>9525</xdr:rowOff>
        </xdr:from>
        <xdr:to>
          <xdr:col>4</xdr:col>
          <xdr:colOff>800100</xdr:colOff>
          <xdr:row>2</xdr:row>
          <xdr:rowOff>9525</xdr:rowOff>
        </xdr:to>
        <xdr:sp macro="" textlink="">
          <xdr:nvSpPr>
            <xdr:cNvPr id="22540" name="pilih_periode_kepatuhan" hidden="1">
              <a:extLst>
                <a:ext uri="{63B3BB69-23CF-44E3-9099-C40C66FF867C}">
                  <a14:compatExt spid="_x0000_s225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xdr:row>
          <xdr:rowOff>38100</xdr:rowOff>
        </xdr:from>
        <xdr:to>
          <xdr:col>2</xdr:col>
          <xdr:colOff>171450</xdr:colOff>
          <xdr:row>4</xdr:row>
          <xdr:rowOff>133350</xdr:rowOff>
        </xdr:to>
        <xdr:sp macro="" textlink="">
          <xdr:nvSpPr>
            <xdr:cNvPr id="22541" name="kpmr_kepatuhan" hidden="1">
              <a:extLst>
                <a:ext uri="{63B3BB69-23CF-44E3-9099-C40C66FF867C}">
                  <a14:compatExt spid="_x0000_s22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xdr:row>
          <xdr:rowOff>38100</xdr:rowOff>
        </xdr:from>
        <xdr:to>
          <xdr:col>3</xdr:col>
          <xdr:colOff>361950</xdr:colOff>
          <xdr:row>4</xdr:row>
          <xdr:rowOff>133350</xdr:rowOff>
        </xdr:to>
        <xdr:sp macro="" textlink="">
          <xdr:nvSpPr>
            <xdr:cNvPr id="22542" name="filter_peringkat_kepatuhan" hidden="1">
              <a:extLst>
                <a:ext uri="{63B3BB69-23CF-44E3-9099-C40C66FF867C}">
                  <a14:compatExt spid="_x0000_s22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3</xdr:row>
          <xdr:rowOff>38100</xdr:rowOff>
        </xdr:from>
        <xdr:to>
          <xdr:col>3</xdr:col>
          <xdr:colOff>1704975</xdr:colOff>
          <xdr:row>4</xdr:row>
          <xdr:rowOff>133350</xdr:rowOff>
        </xdr:to>
        <xdr:sp macro="" textlink="">
          <xdr:nvSpPr>
            <xdr:cNvPr id="22543" name="filter_indikator_kepatuhan" hidden="1">
              <a:extLst>
                <a:ext uri="{63B3BB69-23CF-44E3-9099-C40C66FF867C}">
                  <a14:compatExt spid="_x0000_s22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3</xdr:row>
          <xdr:rowOff>38100</xdr:rowOff>
        </xdr:from>
        <xdr:to>
          <xdr:col>5</xdr:col>
          <xdr:colOff>733425</xdr:colOff>
          <xdr:row>4</xdr:row>
          <xdr:rowOff>133350</xdr:rowOff>
        </xdr:to>
        <xdr:sp macro="" textlink="">
          <xdr:nvSpPr>
            <xdr:cNvPr id="22544" name="filter_blank_kepatuhan" hidden="1">
              <a:extLst>
                <a:ext uri="{63B3BB69-23CF-44E3-9099-C40C66FF867C}">
                  <a14:compatExt spid="_x0000_s22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3</xdr:row>
          <xdr:rowOff>38100</xdr:rowOff>
        </xdr:from>
        <xdr:to>
          <xdr:col>4</xdr:col>
          <xdr:colOff>666750</xdr:colOff>
          <xdr:row>4</xdr:row>
          <xdr:rowOff>133350</xdr:rowOff>
        </xdr:to>
        <xdr:sp macro="" textlink="">
          <xdr:nvSpPr>
            <xdr:cNvPr id="22545" name="clear_filter_kepatuhan" hidden="1">
              <a:extLst>
                <a:ext uri="{63B3BB69-23CF-44E3-9099-C40C66FF867C}">
                  <a14:compatExt spid="_x0000_s22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2</xdr:row>
          <xdr:rowOff>152400</xdr:rowOff>
        </xdr:from>
        <xdr:to>
          <xdr:col>10</xdr:col>
          <xdr:colOff>704850</xdr:colOff>
          <xdr:row>4</xdr:row>
          <xdr:rowOff>38100</xdr:rowOff>
        </xdr:to>
        <xdr:sp macro="" textlink="">
          <xdr:nvSpPr>
            <xdr:cNvPr id="22546" name="submit_kepatuhan" hidden="1">
              <a:extLst>
                <a:ext uri="{63B3BB69-23CF-44E3-9099-C40C66FF867C}">
                  <a14:compatExt spid="_x0000_s22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0</xdr:row>
          <xdr:rowOff>57150</xdr:rowOff>
        </xdr:from>
        <xdr:to>
          <xdr:col>6</xdr:col>
          <xdr:colOff>1266825</xdr:colOff>
          <xdr:row>0</xdr:row>
          <xdr:rowOff>323850</xdr:rowOff>
        </xdr:to>
        <xdr:sp macro="" textlink="">
          <xdr:nvSpPr>
            <xdr:cNvPr id="22547" name="tab_chart" hidden="1">
              <a:extLst>
                <a:ext uri="{63B3BB69-23CF-44E3-9099-C40C66FF867C}">
                  <a14:compatExt spid="_x0000_s22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0</xdr:row>
          <xdr:rowOff>57150</xdr:rowOff>
        </xdr:from>
        <xdr:to>
          <xdr:col>7</xdr:col>
          <xdr:colOff>771525</xdr:colOff>
          <xdr:row>0</xdr:row>
          <xdr:rowOff>323850</xdr:rowOff>
        </xdr:to>
        <xdr:sp macro="" textlink="">
          <xdr:nvSpPr>
            <xdr:cNvPr id="22548" name="tab_grafik" hidden="1">
              <a:extLst>
                <a:ext uri="{63B3BB69-23CF-44E3-9099-C40C66FF867C}">
                  <a14:compatExt spid="_x0000_s22548"/>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0</xdr:row>
          <xdr:rowOff>57150</xdr:rowOff>
        </xdr:from>
        <xdr:to>
          <xdr:col>2</xdr:col>
          <xdr:colOff>276225</xdr:colOff>
          <xdr:row>0</xdr:row>
          <xdr:rowOff>323850</xdr:rowOff>
        </xdr:to>
        <xdr:sp macro="" textlink="">
          <xdr:nvSpPr>
            <xdr:cNvPr id="23565" name="tab_main_menu" hidden="1">
              <a:extLst>
                <a:ext uri="{63B3BB69-23CF-44E3-9099-C40C66FF867C}">
                  <a14:compatExt spid="_x0000_s23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xdr:row>
          <xdr:rowOff>9525</xdr:rowOff>
        </xdr:from>
        <xdr:to>
          <xdr:col>4</xdr:col>
          <xdr:colOff>800100</xdr:colOff>
          <xdr:row>2</xdr:row>
          <xdr:rowOff>9525</xdr:rowOff>
        </xdr:to>
        <xdr:sp macro="" textlink="">
          <xdr:nvSpPr>
            <xdr:cNvPr id="23566" name="pilih_periode_reputasi" hidden="1">
              <a:extLst>
                <a:ext uri="{63B3BB69-23CF-44E3-9099-C40C66FF867C}">
                  <a14:compatExt spid="_x0000_s23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xdr:row>
          <xdr:rowOff>38100</xdr:rowOff>
        </xdr:from>
        <xdr:to>
          <xdr:col>2</xdr:col>
          <xdr:colOff>171450</xdr:colOff>
          <xdr:row>4</xdr:row>
          <xdr:rowOff>133350</xdr:rowOff>
        </xdr:to>
        <xdr:sp macro="" textlink="">
          <xdr:nvSpPr>
            <xdr:cNvPr id="23567" name="kpmr_reputasi" hidden="1">
              <a:extLst>
                <a:ext uri="{63B3BB69-23CF-44E3-9099-C40C66FF867C}">
                  <a14:compatExt spid="_x0000_s23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xdr:row>
          <xdr:rowOff>38100</xdr:rowOff>
        </xdr:from>
        <xdr:to>
          <xdr:col>3</xdr:col>
          <xdr:colOff>361950</xdr:colOff>
          <xdr:row>4</xdr:row>
          <xdr:rowOff>133350</xdr:rowOff>
        </xdr:to>
        <xdr:sp macro="" textlink="">
          <xdr:nvSpPr>
            <xdr:cNvPr id="23568" name="filter_peringkat_reputasi" hidden="1">
              <a:extLst>
                <a:ext uri="{63B3BB69-23CF-44E3-9099-C40C66FF867C}">
                  <a14:compatExt spid="_x0000_s23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3</xdr:row>
          <xdr:rowOff>38100</xdr:rowOff>
        </xdr:from>
        <xdr:to>
          <xdr:col>3</xdr:col>
          <xdr:colOff>1704975</xdr:colOff>
          <xdr:row>4</xdr:row>
          <xdr:rowOff>133350</xdr:rowOff>
        </xdr:to>
        <xdr:sp macro="" textlink="">
          <xdr:nvSpPr>
            <xdr:cNvPr id="23569" name="filter_indikator_reputasi" hidden="1">
              <a:extLst>
                <a:ext uri="{63B3BB69-23CF-44E3-9099-C40C66FF867C}">
                  <a14:compatExt spid="_x0000_s23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3</xdr:row>
          <xdr:rowOff>38100</xdr:rowOff>
        </xdr:from>
        <xdr:to>
          <xdr:col>5</xdr:col>
          <xdr:colOff>733425</xdr:colOff>
          <xdr:row>4</xdr:row>
          <xdr:rowOff>133350</xdr:rowOff>
        </xdr:to>
        <xdr:sp macro="" textlink="">
          <xdr:nvSpPr>
            <xdr:cNvPr id="23570" name="filter_blank_reputasi" hidden="1">
              <a:extLst>
                <a:ext uri="{63B3BB69-23CF-44E3-9099-C40C66FF867C}">
                  <a14:compatExt spid="_x0000_s23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1847850</xdr:colOff>
          <xdr:row>3</xdr:row>
          <xdr:rowOff>38100</xdr:rowOff>
        </xdr:from>
        <xdr:to>
          <xdr:col>4</xdr:col>
          <xdr:colOff>666750</xdr:colOff>
          <xdr:row>4</xdr:row>
          <xdr:rowOff>133350</xdr:rowOff>
        </xdr:to>
        <xdr:sp macro="" textlink="">
          <xdr:nvSpPr>
            <xdr:cNvPr id="23571" name="clear_filter_reputasi" hidden="1">
              <a:extLst>
                <a:ext uri="{63B3BB69-23CF-44E3-9099-C40C66FF867C}">
                  <a14:compatExt spid="_x0000_s23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2</xdr:row>
          <xdr:rowOff>152400</xdr:rowOff>
        </xdr:from>
        <xdr:to>
          <xdr:col>10</xdr:col>
          <xdr:colOff>704850</xdr:colOff>
          <xdr:row>4</xdr:row>
          <xdr:rowOff>38100</xdr:rowOff>
        </xdr:to>
        <xdr:sp macro="" textlink="">
          <xdr:nvSpPr>
            <xdr:cNvPr id="23572" name="submit_reputasi" hidden="1">
              <a:extLst>
                <a:ext uri="{63B3BB69-23CF-44E3-9099-C40C66FF867C}">
                  <a14:compatExt spid="_x0000_s23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0</xdr:row>
          <xdr:rowOff>57150</xdr:rowOff>
        </xdr:from>
        <xdr:to>
          <xdr:col>6</xdr:col>
          <xdr:colOff>1266825</xdr:colOff>
          <xdr:row>0</xdr:row>
          <xdr:rowOff>323850</xdr:rowOff>
        </xdr:to>
        <xdr:sp macro="" textlink="">
          <xdr:nvSpPr>
            <xdr:cNvPr id="23574" name="tab_chart" hidden="1">
              <a:extLst>
                <a:ext uri="{63B3BB69-23CF-44E3-9099-C40C66FF867C}">
                  <a14:compatExt spid="_x0000_s23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0</xdr:row>
          <xdr:rowOff>57150</xdr:rowOff>
        </xdr:from>
        <xdr:to>
          <xdr:col>7</xdr:col>
          <xdr:colOff>771525</xdr:colOff>
          <xdr:row>0</xdr:row>
          <xdr:rowOff>323850</xdr:rowOff>
        </xdr:to>
        <xdr:sp macro="" textlink="">
          <xdr:nvSpPr>
            <xdr:cNvPr id="23575" name="tab_grafik" hidden="1">
              <a:extLst>
                <a:ext uri="{63B3BB69-23CF-44E3-9099-C40C66FF867C}">
                  <a14:compatExt spid="_x0000_s2357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123825</xdr:rowOff>
        </xdr:from>
        <xdr:to>
          <xdr:col>2</xdr:col>
          <xdr:colOff>676275</xdr:colOff>
          <xdr:row>2</xdr:row>
          <xdr:rowOff>57150</xdr:rowOff>
        </xdr:to>
        <xdr:sp macro="" textlink="">
          <xdr:nvSpPr>
            <xdr:cNvPr id="45058" name="menu_risiko_strategis" hidden="1">
              <a:extLst>
                <a:ext uri="{63B3BB69-23CF-44E3-9099-C40C66FF867C}">
                  <a14:compatExt spid="_x0000_s45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847725</xdr:colOff>
          <xdr:row>0</xdr:row>
          <xdr:rowOff>123825</xdr:rowOff>
        </xdr:from>
        <xdr:to>
          <xdr:col>3</xdr:col>
          <xdr:colOff>828675</xdr:colOff>
          <xdr:row>2</xdr:row>
          <xdr:rowOff>57150</xdr:rowOff>
        </xdr:to>
        <xdr:sp macro="" textlink="">
          <xdr:nvSpPr>
            <xdr:cNvPr id="45059" name="menu_risiko_operasional" hidden="1">
              <a:extLst>
                <a:ext uri="{63B3BB69-23CF-44E3-9099-C40C66FF867C}">
                  <a14:compatExt spid="_x0000_s45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1019175</xdr:colOff>
          <xdr:row>0</xdr:row>
          <xdr:rowOff>123825</xdr:rowOff>
        </xdr:from>
        <xdr:to>
          <xdr:col>4</xdr:col>
          <xdr:colOff>1000125</xdr:colOff>
          <xdr:row>2</xdr:row>
          <xdr:rowOff>57150</xdr:rowOff>
        </xdr:to>
        <xdr:sp macro="" textlink="">
          <xdr:nvSpPr>
            <xdr:cNvPr id="45060" name="menu_risiko_hukum" hidden="1">
              <a:extLst>
                <a:ext uri="{63B3BB69-23CF-44E3-9099-C40C66FF867C}">
                  <a14:compatExt spid="_x0000_s45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2657475</xdr:colOff>
          <xdr:row>0</xdr:row>
          <xdr:rowOff>123825</xdr:rowOff>
        </xdr:from>
        <xdr:to>
          <xdr:col>5</xdr:col>
          <xdr:colOff>476250</xdr:colOff>
          <xdr:row>2</xdr:row>
          <xdr:rowOff>57150</xdr:rowOff>
        </xdr:to>
        <xdr:sp macro="" textlink="">
          <xdr:nvSpPr>
            <xdr:cNvPr id="45061" name="menu_risiko_reputasi" hidden="1">
              <a:extLst>
                <a:ext uri="{63B3BB69-23CF-44E3-9099-C40C66FF867C}">
                  <a14:compatExt spid="_x0000_s45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1171575</xdr:colOff>
          <xdr:row>0</xdr:row>
          <xdr:rowOff>123825</xdr:rowOff>
        </xdr:from>
        <xdr:to>
          <xdr:col>4</xdr:col>
          <xdr:colOff>2495550</xdr:colOff>
          <xdr:row>2</xdr:row>
          <xdr:rowOff>57150</xdr:rowOff>
        </xdr:to>
        <xdr:sp macro="" textlink="">
          <xdr:nvSpPr>
            <xdr:cNvPr id="45062" name="menu_risiko_kepatuhan" hidden="1">
              <a:extLst>
                <a:ext uri="{63B3BB69-23CF-44E3-9099-C40C66FF867C}">
                  <a14:compatExt spid="_x0000_s45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123825</xdr:rowOff>
        </xdr:from>
        <xdr:to>
          <xdr:col>6</xdr:col>
          <xdr:colOff>447675</xdr:colOff>
          <xdr:row>2</xdr:row>
          <xdr:rowOff>57150</xdr:rowOff>
        </xdr:to>
        <xdr:sp macro="" textlink="">
          <xdr:nvSpPr>
            <xdr:cNvPr id="45063" name="menu_risiko_komposit" hidden="1">
              <a:extLst>
                <a:ext uri="{63B3BB69-23CF-44E3-9099-C40C66FF867C}">
                  <a14:compatExt spid="_x0000_s45063"/>
                </a:ext>
              </a:extLst>
            </xdr:cNvPr>
            <xdr:cNvSpPr/>
          </xdr:nvSpPr>
          <xdr:spPr>
            <a:xfrm>
              <a:off x="0" y="0"/>
              <a:ext cx="0" cy="0"/>
            </a:xfrm>
            <a:prstGeom prst="rect">
              <a:avLst/>
            </a:prstGeom>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ell" refreshedDate="44620.561778703704" createdVersion="4" refreshedVersion="4" minRefreshableVersion="3" recordCount="96">
  <cacheSource type="worksheet">
    <worksheetSource name="Table2"/>
  </cacheSource>
  <cacheFields count="13">
    <cacheField name="Key" numFmtId="0">
      <sharedItems/>
    </cacheField>
    <cacheField name="No" numFmtId="0">
      <sharedItems/>
    </cacheField>
    <cacheField name="Risiko" numFmtId="0">
      <sharedItems containsBlank="1" count="14">
        <s v="KPMR Operasional"/>
        <s v="KPMR Kepatuhan"/>
        <s v="Inherent Kepatuhan"/>
        <s v="KPMR Reputasi"/>
        <s v="Inherent Reputasi"/>
        <s v="KPMR Strategis"/>
        <s v="Inherent Strategis"/>
        <m u="1"/>
        <s v="Peringkat KPMR" u="1"/>
        <s v="Indikator Inherent" u="1"/>
        <s v="Inherent Hukum" u="1"/>
        <s v="Inherent Operasional" u="1"/>
        <s v="KPMR Hukum" u="1"/>
        <s v="Peringkat Inherent" u="1"/>
      </sharedItems>
    </cacheField>
    <cacheField name="Kategori" numFmtId="0">
      <sharedItems containsBlank="1" count="37">
        <s v="Peringkat KPMR"/>
        <s v="Peringkat Inherent"/>
        <s v="Indikator Inherent"/>
        <m u="1"/>
        <s v="Delegasi kewenangan _ _ _ _ _ _ _" u="1"/>
        <s v="Kondisi pasar dimana Perusahaan menjalankan kegiatan usaha" u="1"/>
        <s v="Strategi alternatif (kontinjen/emergent strategy) dalam hal terjadi perubahan lingkungan bisnis yang telah diantisipasi" u="1"/>
        <s v="Perusahaan memiliki _ _ _ _ _ _" u="1"/>
        <s v="Pemahaman Direksi atas keseluruhan rencana strategis Perusahaan" u="1"/>
        <s v="Penetapan tujuan strategis perlu mempertimbangkan faktor internal dan eksternal bisnis Perusahaan" u="1"/>
        <s v="Keunggulan kompetitif yang dimiliki oleh Perusahaan dibandingkan dengan kompetitornya" u="1"/>
        <s v="Produk asuransi/reasuransi yang diperantarai atau yang dinilai risiko/kerugiannya, layanan, dan/atau aktivitas Perusahaan _ _ _ _ _ _ _" u="1"/>
        <s v="Pencapaian rencana bisnis _ _ _ _ _ _" u="1"/>
        <s v="Pelaksanaan kaji ulang independen oleh fungsi audit internal dan fungsi yang melakukan kaji ulang independen" u="1"/>
        <s v="Perusahaan _ _ _ _ _ sesuai dengan kondisi lingkungan usaha" u="1"/>
        <s v="Pelaksanaan tugas Direksi dan Dewan Komisaris secara umum/keseluruhan _ _ _ _ _ _ _ _" u="1"/>
        <s v="Sistem informasi Manajemen Risiko untuk Risiko Strategis _ _ _ _ _ _" u="1"/>
        <s v="Tingkat deviasi antara sasaran strategis dengan hasil pencapaian Perusahaan" u="1"/>
        <s v="Direksi dan Dewan Komisaris memiliki kesadaran (awareness) dan pemahaman yang _ _ _ _ _ _ _ _mengenai Manajemen Risiko untuk Risiko Strategis, sumber Risiko Strategis dan tingkat Risiko Strategis di Perusahaan" u="1"/>
        <s v="Tindak lanjut atas kaji ulang independen telah dilaksanakan dengan _ _ _ _ _ _ _" u="1"/>
        <s v="Sistem pengendalian internal _ _ _ _ _ dalam mendukung pelaksanaan Manajemen Risiko untuk Risiko Strategis" u="1"/>
        <s v="Proses Manajemen Risiko untuk Risiko Strategi _ _ _ _ _ _ dalam mengidentifikasi, mengukur, mengedalikan, dan memantau Risiko Strategis" u="1"/>
        <s v="Strategi Perusahaan dalam mempertahankan atau meningkatkan posisi strategis di pasar yang akan dilakukan Perusahaan baik kegiatan usaha, cakupan wilayah operasional atau lainnya" u="1"/>
        <s v="Tahapan atau mekanisme penyusunan rencana strategis oleh Direksi" u="1"/>
        <s v="Kesiapan Perusahaan dalam menghadapi perubahan ekonomi secara makro dan dampaknya terhadap kondisi Perusahaan, antara lain suku bunga, inflasi, dan nilai tukar" u="1"/>
        <s v="Secara umum _ _ _ _ _ berdasarkan hasil kaji ulang independen" u="1"/>
        <s v="Kebijakan, prosedur, dan penetapan limit untuk Risiko Strategis _ _ _ _ _ _ _" u="1"/>
        <s v="Strategi Perusahaan tergolong berisiko _ _ _ _ _" u="1"/>
        <s v="SDM _ _ _ _ _ dari baik sisi kuantitas maupun kualitas pada fungsi Manajemen Risiko untuk Risiko Strategis" u="1"/>
        <s v="Budaya Manajemen Risiko untuk Risiko Strategis _ _ _ _ _ _" u="1"/>
        <s v="Strategi Manajemen Risiko untuk Risiko Strategis _ _ _ _ _ _ _ dengan tingkat Risiko yang akan diambil (risk appetite) dan toleransi Risiko Strategis" u="1"/>
        <s v="Pilihan strategi perusahaan apakah cenderung menggunakan strategi berisiko tinggi atau strategi berisiko rendah" u="1"/>
        <s v="Fungsi Manajemen Risiko untuk Risiko Strategis _ _ _ _ _ _ _" u="1"/>
        <s v="Reputasi Perusahaan" u="1"/>
        <s v="Dokumentasi penyebab terjadinya deviasi rencana bisnis" u="1"/>
        <s v="Proses Perusahaan dalam melakukan formulasi strategi bisnis serta perubahan strategi bisnis yang dilakukan (jika ada)" u="1"/>
        <s v="Perumusan tingkat Risiko yang akan diambil (risk appetite) dan toleransi risiko (risk tolerance)_ _ _ _ _ _ _ _ dengan sasaran strategis dan strategi bisnis secara keseluruhan" u="1"/>
      </sharedItems>
    </cacheField>
    <cacheField name="Keterangan/Indikator" numFmtId="0">
      <sharedItems longText="1"/>
    </cacheField>
    <cacheField name="1 (Kuat/Rendah)" numFmtId="0">
      <sharedItems containsBlank="1"/>
    </cacheField>
    <cacheField name="2 (Cukup Kuat/Sedang Rendah)" numFmtId="0">
      <sharedItems containsBlank="1"/>
    </cacheField>
    <cacheField name="3 (Cukup/Sedang)" numFmtId="0">
      <sharedItems containsBlank="1"/>
    </cacheField>
    <cacheField name="4 (Agak Lemah/Sedang Tinggi)" numFmtId="0">
      <sharedItems containsBlank="1"/>
    </cacheField>
    <cacheField name="5 (Lemah/Tinggi)" numFmtId="0">
      <sharedItems containsBlank="1"/>
    </cacheField>
    <cacheField name="Peringkat" numFmtId="0">
      <sharedItems containsDate="1" containsString="0" containsBlank="1" containsMixedTypes="1" minDate="1899-12-31T04:01:03" maxDate="2022-02-02T00:00:00" count="12">
        <n v="3"/>
        <n v="4"/>
        <n v="5"/>
        <n v="2"/>
        <n v="1"/>
        <m/>
        <d v="1899-12-31T00:00:00" u="1"/>
        <d v="1900-01-03T00:00:00" u="1"/>
        <d v="1900-01-01T00:00:00" u="1"/>
        <d v="2022-02-01T00:00:00" u="1"/>
        <d v="1900-01-04T00:00:00" u="1"/>
        <d v="1900-01-02T00:00:00" u="1"/>
      </sharedItems>
    </cacheField>
    <cacheField name="Periode" numFmtId="14">
      <sharedItems containsSemiMixedTypes="0" containsNonDate="0" containsDate="1" containsString="0" minDate="2022-01-01T00:00:00" maxDate="2022-01-02T00:00:00"/>
    </cacheField>
    <cacheField name="Period" numFmtId="0">
      <sharedItems containsBlank="1" count="8">
        <s v="Jan-2022"/>
        <m u="1"/>
        <s v="Jan-1900" u="1"/>
        <s v="Feb-2022" u="1"/>
        <s v="Apr-2022" u="1"/>
        <s v="Mar-2022" u="1"/>
        <s v="Jun-2022" u="1"/>
        <s v="May-2022" u="1"/>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96">
  <r>
    <s v="III.B.3.a01/01/2022"/>
    <s v="III.B.3.a"/>
    <x v="0"/>
    <x v="0"/>
    <s v="Perumusan tingkat Risiko yang akan diambil (risk appetite) dan toleransi risiko (risk tolerance)_ _ _ _ _ _ _ _ dengan sasaran strategis dan strategi bisnis secara keseluruhan"/>
    <s v="sangat memadai serta telah sejalan"/>
    <s v="memadai dan telah sejalan"/>
    <s v="cukup memadai tapi tidak selalu sejalan"/>
    <s v="kurang memadai serta tidak sejalan"/>
    <s v="tidak memadai serta tidak terdapat kaitan"/>
    <x v="0"/>
    <d v="2022-01-01T00:00:00"/>
    <x v="0"/>
  </r>
  <r>
    <s v="III.D.3.a01/01/2022"/>
    <s v="III.D.3.a"/>
    <x v="1"/>
    <x v="0"/>
    <s v="Perumusan tingkat Risiko yang akan diambil (risk appetite) dan toleransi risiko (risk tolerance)_ _ _ _ _ _ _ _ dengan sasaran strategis dan strategi bisnis secara keseluruhan"/>
    <s v="sangat memadai serta telah sejalan"/>
    <s v="memadai dan telah sejalan"/>
    <s v="cukup memadai tapi tidak selalu sejalan"/>
    <s v="kurang memadai serta tidak sejalan"/>
    <s v="tidak memadai serta tidak terdapat kaitan"/>
    <x v="1"/>
    <d v="2022-01-01T00:00:00"/>
    <x v="0"/>
  </r>
  <r>
    <s v="III.D.3.b01/01/2022"/>
    <s v="III.D.3.b"/>
    <x v="1"/>
    <x v="0"/>
    <s v="Direksi dan Dewan Komisaris memiliki kesadaran (awareness) dan pemahaman yang _ _ _ _ _ _ _ _mengenai Manajemen Risiko untuk Risiko Kepatuhan, sumber Risiko Kepatuhan dan tingkat Risiko Kepatuhan di Perusahaan"/>
    <s v="sangat baik"/>
    <s v="baik"/>
    <s v="cukup baik"/>
    <s v="lemah secara signifikan"/>
    <s v="sangat lemah"/>
    <x v="1"/>
    <d v="2022-01-01T00:00:00"/>
    <x v="0"/>
  </r>
  <r>
    <s v="III.D.3.c01/01/2022"/>
    <s v="III.D.3.c"/>
    <x v="1"/>
    <x v="0"/>
    <s v="Budaya Manajemen Risiko untuk Risiko Kepatuhan _ _ _ _ _ _"/>
    <s v="sangat kuat dan telah diinternalisasikan dengan sangat baik pada seluruh level organisasi"/>
    <s v="kuat dan telah diinternalisasikan dengan baik pada seluruh level organisasi"/>
    <s v="cukup kuat dan telah diinternalisasikan dengan cukup baik tetapi belum selalu dilaksanakan secara konsisten"/>
    <s v="kurang kuat dan belum diinternalisasikan dengan baik pada setiap level organisasi"/>
    <s v="tidak kuat atau belum ada sama sekali"/>
    <x v="2"/>
    <d v="2022-01-01T00:00:00"/>
    <x v="0"/>
  </r>
  <r>
    <s v="III.D.3.d01/01/2022"/>
    <s v="III.D.3.d"/>
    <x v="1"/>
    <x v="0"/>
    <s v="Pelaksanaan tugas Direksi dan Dewan Komisaris secara umum/keseluruhan _ _ _ _ _ _ _ _"/>
    <s v="sangat memadai"/>
    <s v="memadai, terdapat beberapa kelemahan tetapi tidak signifikan dan dapat diperbaiki dengan segera"/>
    <s v="cukup memadai, tetapi terdapat kelemahan pada beberapa aspek penilaian yang perlu mendapat perhatian manajemen"/>
    <s v="kurang memadai, terdapat kelemahan pada berbagai aspek penilaian yang memerlukan perbaikan segera"/>
    <s v="tidak memadai, terdapat kelemahan yang siginifikan pada hampir seluruh aspek penilaian dan tindakan dan penyelesaiannya di luar kemampuan Perusahaan"/>
    <x v="2"/>
    <d v="2022-01-01T00:00:00"/>
    <x v="0"/>
  </r>
  <r>
    <s v="III.D.3.e01/01/2022"/>
    <s v="III.D.3.e"/>
    <x v="1"/>
    <x v="0"/>
    <s v="Fungsi Manajemen Risiko untuk Risiko Kepatuhan _ _ _ _ _ _ _"/>
    <s v="independen, memiliki tugas dan tanggung jawab yang jelas, dan telah berjalan dengan sangat baik"/>
    <s v="memiliki tugas dan tanggung jawab yang jelas dan telah berjalan dengan baik, tetapi terdapat kelemahan minor yang dapat diselesaikan pada aktivitas bisnis normal"/>
    <s v="cukup baik, tetapi terdapat beberapa kelemahan termasuk pelaporan kepada Direksi dan Dewan Komisaris yang membutuhkan perhatian manajemen"/>
    <s v="memiliki kelemahan signifikan yang memerlukan perbaikan segera"/>
    <s v="memiliki kelemahan signifikan yang membutuhkan perbaikan fundamental"/>
    <x v="3"/>
    <d v="2022-01-01T00:00:00"/>
    <x v="0"/>
  </r>
  <r>
    <s v="III.D.3.f01/01/2022"/>
    <s v="III.D.3.f"/>
    <x v="1"/>
    <x v="0"/>
    <s v="Delegasi kewenangan _ _ _ _ _ _ _"/>
    <s v="dikendalikan dan dipantau secara berkala, dan telah berjalan dengan sangat baik"/>
    <s v="dikendalikan dan dipantau secara berkala serta telah berjalan dengan baik"/>
    <s v="cukup baik, tetapi pengendalian dan pemantauan tidak selalu dilaksanakan dengan baik"/>
    <s v="lemah, tidak dikendalikan dan tidak dipantau dengan baik"/>
    <s v="sangat lemah atau tidak ada"/>
    <x v="3"/>
    <d v="2022-01-01T00:00:00"/>
    <x v="0"/>
  </r>
  <r>
    <s v="III.D.3.g01/01/2022"/>
    <s v="III.D.3.g"/>
    <x v="1"/>
    <x v="0"/>
    <s v="Strategi Manajemen Risiko untuk Risiko Kepatuhan _ _ _ _ _ _ _ dengan tingkat Risiko yang akan diambil (risk appetite) dan toleransi Risiko Kepatuhan"/>
    <s v="sangat sejalan"/>
    <s v="sejalan"/>
    <s v="cukup sejalan"/>
    <s v="kurang sejalan"/>
    <s v="tidak sejalan"/>
    <x v="3"/>
    <d v="2022-01-01T00:00:00"/>
    <x v="0"/>
  </r>
  <r>
    <s v="III.D.3.h01/01/2022"/>
    <s v="III.D.3.h"/>
    <x v="1"/>
    <x v="0"/>
    <s v="Kebijakan, prosedur, dan penetapan limit untuk Risiko Kepatuhan _ _ _ _ _ _ _"/>
    <s v="sangat memadai dan tersedia untuk seluruh area Manajemen Risiko untuk Risiko Kepatuhan sejalan dengan penerapan, dan dipahami dengan baik oleh pegawai"/>
    <s v="memadai dan tersedia untuk seluruh area Manajemen Risiko untuk Risiko Kepatuhan sejalan dengan penerapan, dan dipahami dengan baik oleh pegawai meskipun terdapat kelemahan minor"/>
    <s v="cukup memadai tetapi tidak selalu konsisten dengan penerapan"/>
    <s v="memiliki kelemahan"/>
    <s v="memiliki kelemahan yang sangat signifikan"/>
    <x v="3"/>
    <d v="2022-01-01T00:00:00"/>
    <x v="0"/>
  </r>
  <r>
    <s v="III.D.3.i01/01/2022"/>
    <s v="III.D.3.i"/>
    <x v="1"/>
    <x v="0"/>
    <s v="Proses Manajemen Risiko untuk Risiko Kepatuhan _ _ _ _ _ _ dalam mengidentifikasi, mengukur, mengedalikan, dan memantau Risiko Kepatuhan"/>
    <s v="sangat memadai"/>
    <s v="memadai"/>
    <s v="cukup memadai"/>
    <s v="kurang memadai"/>
    <s v="tidak memadai"/>
    <x v="4"/>
    <d v="2022-01-01T00:00:00"/>
    <x v="0"/>
  </r>
  <r>
    <s v="III.D.3.j01/01/2022"/>
    <s v="III.D.3.j"/>
    <x v="1"/>
    <x v="0"/>
    <s v="Sistem informasi Manajemen Risiko untuk Risiko Kepatuhan _ _ _ _ _ _"/>
    <s v="sangat baik sehingga menghasilkan laporan Risiko Kepatuhan yang komprehensif dan terintegrasi kepada Direksi dan Dewan Komisaris"/>
    <s v="baik, termasuk pelaporan Risiko Kepatuhan kepada Direksi dan Dewan Komisaris, tetapi terdapat kelemahan minor yang dapat diperbaiki dengan mudah"/>
    <s v="memenuhi ekspektasi minimum tetapi terdapat beberapa kelemahan termasuk pelaporan kepada Direksi dan Dewan Komisaris yang membutuhkan perhatian manajemen"/>
    <s v="terdapat kelemahan signifikan termasuk pelaporan kepada Direksi dan Dewan Komisaris yang memerlukan perbaikan segera"/>
    <s v="terdapat kelemahan fundamental"/>
    <x v="3"/>
    <d v="2022-01-01T00:00:00"/>
    <x v="0"/>
  </r>
  <r>
    <s v="III.D.3.k01/01/2022"/>
    <s v="III.D.3.k"/>
    <x v="1"/>
    <x v="0"/>
    <s v="SDM _ _ _ _ _ dari baik sisi kuantitas maupun kualitas pada fungsi Manajemen Risiko untuk Risiko Kepatuhan"/>
    <s v="sangat memadai"/>
    <s v="memadai"/>
    <s v="cukup memadai"/>
    <s v="kurang memadai"/>
    <s v="tidak memadai"/>
    <x v="0"/>
    <d v="2022-01-01T00:00:00"/>
    <x v="0"/>
  </r>
  <r>
    <s v="III.D.3.l01/01/2022"/>
    <s v="III.D.3.l"/>
    <x v="1"/>
    <x v="0"/>
    <s v="Sistem pengendalian internal _ _ _ _ _ dalam mendukung pelaksanaan Manajemen Risiko untuk Risiko Kepatuhan"/>
    <s v="sangat efektif"/>
    <s v="efektif"/>
    <s v="cukup efektif"/>
    <s v="kurang efektif"/>
    <s v="tidak efektif"/>
    <x v="1"/>
    <d v="2022-01-01T00:00:00"/>
    <x v="0"/>
  </r>
  <r>
    <s v="III.D.3.m01/01/2022"/>
    <s v="III.D.3.m"/>
    <x v="1"/>
    <x v="0"/>
    <s v="Pelaksanaan kaji ulang independen oleh fungsi audit internal dan fungsi yang melakukan kaji ulang independen"/>
    <s v="sangat memadai baik dari sisi metodologi, frekuensi,_x000a_maupun pelaporan kepada Direksi dan Dewan Komisaris"/>
    <s v="memadai baik dari sisi metodologi, frekuensi, maupun pelaporan kepada Direksi dan Dewan Komisaris"/>
    <s v="cukup memadai, tetapi terdapat beberapa kelemahan pada metodologi, frekuensi, dan/atau pelaporan kepada Direksi dan Dewan Komisaris yang memerlukan perhatian manajemen"/>
    <s v="kurang memadai, terdapat kelemahan pada metodologi, frekuensi, dan/atau pelaporan kepada Direksi dan Dewan Komisaris yang membutuhkan perbaikan segera"/>
    <s v="kurang atau tidak memadai, terdapat kelemahan pada metodologi, frekuensi, dan/atau pelaporan kepada Direksi dan Dewan Komisaris yang memerlukan perbaikan fundamental"/>
    <x v="5"/>
    <d v="2022-01-01T00:00:00"/>
    <x v="0"/>
  </r>
  <r>
    <s v="III.D.3.n01/01/2022"/>
    <s v="III.D.3.n"/>
    <x v="1"/>
    <x v="0"/>
    <s v="Secara umum _ _ _ _ _ berdasarkan hasil kaji ulang independen"/>
    <s v="tidak terdapat kelemahan yang signifikan"/>
    <s v="terdapat kelemahan namun tidak signifikan"/>
    <s v="terdapat kelemahan yang cukup signifikan dan memerlukan perhatian manajemen"/>
    <s v="terdapat kelemahan yang signifikan dan memerlukan tindakan manajemen"/>
    <s v="terdapat kelemahan yang sangat signifikan dan tindakannya di luar kemampuan manajemen"/>
    <x v="5"/>
    <d v="2022-01-01T00:00:00"/>
    <x v="0"/>
  </r>
  <r>
    <s v="III.D.3.o01/01/2022"/>
    <s v="III.D.3.o"/>
    <x v="1"/>
    <x v="0"/>
    <s v="Tindak lanjut atas kaji ulang independen telah dilaksanakan dengan _ _ _ _ _ _ _"/>
    <s v="sangat memadai"/>
    <s v="memadai"/>
    <s v="cukup memadai"/>
    <s v="kurang memadai"/>
    <s v="tidak memadai atau tidak ada"/>
    <x v="1"/>
    <d v="2022-01-01T00:00:00"/>
    <x v="0"/>
  </r>
  <r>
    <s v="III.D.2.a01/01/2022"/>
    <s v="III.D.2.a"/>
    <x v="2"/>
    <x v="1"/>
    <s v="_ _ _ _ _ pelanggaran ketentuan peraturan perundangundangan _ _ _ _ _"/>
    <s v="tidak terdapat;"/>
    <s v="terdapat; yang relatif minor dan dapat segera diperbaiki oleh Perusahaan (kurang signifikan)"/>
    <s v="terdapat; yang cukup signifikan dan membutuhkan perhatian manajemen"/>
    <s v="terdapat; yang signifikan dan membutuhkan tindakan perbaikan segera"/>
    <s v="terdapat; yang sangat signifikan dan memerlukan perbaikan segera"/>
    <x v="3"/>
    <d v="2022-01-01T00:00:00"/>
    <x v="0"/>
  </r>
  <r>
    <s v="III.D.2.b01/01/2022"/>
    <s v="III.D.2.b"/>
    <x v="2"/>
    <x v="1"/>
    <s v="Rekam jejak kepatuhan Perusahaan selama ini _ _ _ _ _ _"/>
    <s v="sangat baik"/>
    <s v="baik"/>
    <s v="kurang baik"/>
    <s v="buruk"/>
    <s v="sangat buruk"/>
    <x v="0"/>
    <d v="2022-01-01T00:00:00"/>
    <x v="0"/>
  </r>
  <r>
    <s v="III.D.2.c01/01/2022"/>
    <s v="III.D.2.c"/>
    <x v="2"/>
    <x v="1"/>
    <s v="Kode etik dan standar bisnis _ _ _ _ _"/>
    <s v="sudah diterapkan"/>
    <s v="sudah diterapkan hampir seluruhnya (terdapat pelanggaran yang kurang signifikan)"/>
    <s v="terdapat pelanggaran yang cukup signifikan"/>
    <s v="terdapat pelanggaran yang signifikan"/>
    <s v="terdapat pelanggaran yang sangat signifikan"/>
    <x v="4"/>
    <d v="2022-01-01T00:00:00"/>
    <x v="0"/>
  </r>
  <r>
    <s v="III.D.1.1.a01/01/2022"/>
    <s v="III.D.1.1.a"/>
    <x v="2"/>
    <x v="2"/>
    <s v="Jenis pelanggaran atau ketidakpatuhan yang dilakukan oleh Perusahaan"/>
    <m/>
    <m/>
    <m/>
    <m/>
    <m/>
    <x v="3"/>
    <d v="2022-01-01T00:00:00"/>
    <x v="0"/>
  </r>
  <r>
    <s v="III.D.1.1.b01/01/2022"/>
    <s v="III.D.1.1.b"/>
    <x v="2"/>
    <x v="2"/>
    <s v="Jumlah sanksi administrasi berupa denda yang dikenakan kepada Perusahaan dari Otoritas Jasa Keuangan"/>
    <m/>
    <m/>
    <m/>
    <m/>
    <m/>
    <x v="0"/>
    <d v="2022-01-01T00:00:00"/>
    <x v="0"/>
  </r>
  <r>
    <s v="III.D.1.1.c01/01/2022"/>
    <s v="III.D.1.1.c"/>
    <x v="2"/>
    <x v="2"/>
    <s v="Jumlah sanksi administrasi berupa sanksi peringatan atau teguran yang dikenakan kepada Perusahaan"/>
    <m/>
    <m/>
    <m/>
    <m/>
    <m/>
    <x v="5"/>
    <d v="2022-01-01T00:00:00"/>
    <x v="0"/>
  </r>
  <r>
    <s v="III.D.1.1.d01/01/2022"/>
    <s v="III.D.1.1.d"/>
    <x v="2"/>
    <x v="2"/>
    <s v="Signifikansi pelanggaran"/>
    <m/>
    <m/>
    <m/>
    <m/>
    <m/>
    <x v="5"/>
    <d v="2022-01-01T00:00:00"/>
    <x v="0"/>
  </r>
  <r>
    <s v="III.D.1.1.e01/01/2022"/>
    <s v="III.D.1.1.e"/>
    <x v="2"/>
    <x v="2"/>
    <s v="Perilaku yang mendasari pelanggaran"/>
    <m/>
    <m/>
    <m/>
    <m/>
    <m/>
    <x v="3"/>
    <d v="2022-01-01T00:00:00"/>
    <x v="0"/>
  </r>
  <r>
    <s v="III.D.1.2.a01/01/2022"/>
    <s v="III.D.1.2.a"/>
    <x v="2"/>
    <x v="2"/>
    <s v="Jenis dan frekuensi pelanggaran yang sama yang ditemukan setiap tahunnya dalam 3 (tiga) tahun terakhir"/>
    <m/>
    <m/>
    <m/>
    <m/>
    <m/>
    <x v="0"/>
    <d v="2022-01-01T00:00:00"/>
    <x v="0"/>
  </r>
  <r>
    <s v="III.D.1.2.b01/01/2022"/>
    <s v="III.D.1.2.b"/>
    <x v="2"/>
    <x v="2"/>
    <s v="Signifikansi pelanggaran yang sama"/>
    <m/>
    <m/>
    <m/>
    <m/>
    <m/>
    <x v="4"/>
    <d v="2022-01-01T00:00:00"/>
    <x v="0"/>
  </r>
  <r>
    <s v="III.D.1.3.a01/01/2022"/>
    <s v="III.D.1.3.a"/>
    <x v="2"/>
    <x v="2"/>
    <s v="Frekuensi pelanggaran atas ketentuan karena tidak sesuai dengan ketentuan peraturan perundang-undangan atau standar yang berlaku umum"/>
    <m/>
    <m/>
    <m/>
    <m/>
    <m/>
    <x v="1"/>
    <d v="2022-01-01T00:00:00"/>
    <x v="0"/>
  </r>
  <r>
    <s v="III.D.1.4.a01/01/2022"/>
    <s v="III.D.1.4.a"/>
    <x v="2"/>
    <x v="2"/>
    <s v="Tindak lanjut atas pelanggaran ketentuan peraturan perundang-undangan termasuk pemenuhan atas rencana tindak (action plan) yang disampaikan kepada Otoritas Jasa Keuangan dan otoritas lainnya"/>
    <m/>
    <m/>
    <m/>
    <m/>
    <m/>
    <x v="3"/>
    <d v="2022-01-01T00:00:00"/>
    <x v="0"/>
  </r>
  <r>
    <s v="III.E.3.a01/01/2022"/>
    <s v="III.E.3.a"/>
    <x v="3"/>
    <x v="0"/>
    <s v="Perumusan tingkat Risiko yang akan diambil (risk appetite) dan toleransi risiko (risk tolerance)_ _ _ _ _ _ _ _ dengan sasaran strategis dan strategi bisnis secara keseluruhan"/>
    <s v="1 (Kuat/Rendah)"/>
    <s v="2 (Agak Kuat/Sedang Rendah)"/>
    <s v="3 (Cukup/Sedang)"/>
    <s v="4 (Agak Lemah/Sedang Tinggi)"/>
    <s v="5 (Lemah/Tinggi)"/>
    <x v="5"/>
    <d v="2022-01-01T00:00:00"/>
    <x v="0"/>
  </r>
  <r>
    <s v="III.E.3.b01/01/2022"/>
    <s v="III.E.3.b"/>
    <x v="3"/>
    <x v="0"/>
    <s v="Direksi dan Dewan Komisaris memiliki kesadaran (awareness) dan pemahaman yang _ _ _ _ _ _ _ _mengenai Manajemen Risiko untuk Risiko Reputasi, sumber Risiko Reputasi dan tingkat Risiko Reputasi di Perusahaan"/>
    <s v="sangat baik"/>
    <s v="baik"/>
    <s v="cukup baik"/>
    <s v="lemah secara signifikan"/>
    <s v="sangat lemah"/>
    <x v="5"/>
    <d v="2022-01-01T00:00:00"/>
    <x v="0"/>
  </r>
  <r>
    <s v="III.E.3.c01/01/2022"/>
    <s v="III.E.3.c"/>
    <x v="3"/>
    <x v="0"/>
    <s v="Budaya Manajemen Risiko untuk Risiko Reputasi _ _ _ _ _ _"/>
    <s v="sangat kuat dan telah diinternalisasikan dengan sangat baik pada seluruh level organisasi"/>
    <s v="kuat dan telah diinternalisasikan dengan baik pada seluruh level organisasi"/>
    <s v="cukup kuat dan telah diinternalisasikan dengan cukup baik tetapi belum selalu dilaksanakan secara konsisten"/>
    <s v="kurang kuat dan belum diinternalisasikan dengan baik pada setiap level organisasi"/>
    <s v="tidak kuat atau belum ada sama sekali"/>
    <x v="5"/>
    <d v="2022-01-01T00:00:00"/>
    <x v="0"/>
  </r>
  <r>
    <s v="III.E.3.d01/01/2022"/>
    <s v="III.E.3.d"/>
    <x v="3"/>
    <x v="0"/>
    <s v="Pelaksanaan tugas Direksi dan Dewan Komisaris secara umum/keseluruhan _ _ _ _ _ _ _ _"/>
    <s v="sangat memadai"/>
    <s v="memadai, terdapat beberapa kelemahan tetapi tidak signifikan dan dapat diperbaiki dengan segera"/>
    <s v="cukup memadai, tetapi terdapat kelemahan pada beberapa aspek penilaian yang perlu mendapat perhatian manajemen"/>
    <s v="kurang memadai, terdapat kelemahan pada berbagai aspek penilaian yang memerlukan perbaikan segera"/>
    <s v="tidak memadai, terdapat kelemahan yang siginifikan pada hampir seluruh aspek penilaian dan tindakan dan penyelesaiannya di luar kemampuan Perusahaan"/>
    <x v="5"/>
    <d v="2022-01-01T00:00:00"/>
    <x v="0"/>
  </r>
  <r>
    <s v="III.E.3.e01/01/2022"/>
    <s v="III.E.3.e"/>
    <x v="3"/>
    <x v="0"/>
    <s v="Fungsi Manajemen Risiko untuk Risiko Reputasi _ _ _ _ _ _ _"/>
    <s v="independen, memiliki tugas dan tanggung jawab yang jelas, dan telah berjalan dengan sangat baik"/>
    <s v="memiliki tugas dan tanggung jawab yang jelas dan telah berjalan dengan baik, tetapi terdapat kelemahan minor yang dapat diselesaikan pada aktivitas bisnis normal"/>
    <s v="cukup baik, tetapi terdapat beberapa kelemahan termasuk pelaporan kepada Direksi dan Dewan Komisaris yang membutuhkan perhatian manajemen"/>
    <s v="memiliki kelemahan signifikan yang memerlukan perbaikan segera"/>
    <s v="memiliki kelemahan signifikan yang membutuhkan perbaikan fundamental"/>
    <x v="5"/>
    <d v="2022-01-01T00:00:00"/>
    <x v="0"/>
  </r>
  <r>
    <s v="III.E.3.f01/01/2022"/>
    <s v="III.E.3.f"/>
    <x v="3"/>
    <x v="0"/>
    <s v="Delegasi kewenangan _ _ _ _ _ _ _"/>
    <s v="dikendalikan dan dipantau secara berkala, dan telah berjalan dengan sangat baik"/>
    <s v="dikendalikan dan dipantau secara berkala serta telah berjalan dengan baik"/>
    <s v="cukup baik, tetapi pengendalian dan pemantauan tidak selalu dilaksanakan dengan baik"/>
    <s v="lemah, tidak dikendalikan dan tidak dipantau dengan baik"/>
    <s v="sangat lemah atau tidak ada"/>
    <x v="5"/>
    <d v="2022-01-01T00:00:00"/>
    <x v="0"/>
  </r>
  <r>
    <s v="III.E.3.g01/01/2022"/>
    <s v="III.E.3.g"/>
    <x v="3"/>
    <x v="0"/>
    <s v="Strategi Manajemen Risiko untuk Risiko Reputasi _ _ _ _ _ _ _ dengan tingkat Risiko yang akan diambil (risk appetite) dan toleransi Risiko Reputasi"/>
    <s v="sangat sejalan"/>
    <s v="sejalan"/>
    <s v="cukup sejalan"/>
    <s v="kurang sejalan"/>
    <s v="tidak sejalan"/>
    <x v="5"/>
    <d v="2022-01-01T00:00:00"/>
    <x v="0"/>
  </r>
  <r>
    <s v="III.E.3.h01/01/2022"/>
    <s v="III.E.3.h"/>
    <x v="3"/>
    <x v="0"/>
    <s v="Kebijakan, prosedur, dan penetapan limit untuk Risiko Reputasi _ _ _ _ _ _ _"/>
    <s v="sangat memadai dan tersedia untuk seluruh area Manajemen Risiko untuk Risiko Reputasi sejalan dengan penerapan, dan dipahami dengan baik oleh pegawai"/>
    <s v="memadai dan tersedia untuk seluruh area Manajemen Risiko untuk Risiko Reputasi sejalan dengan penerapan, dan dipahami dengan baik oleh pegawai meskipun terdapat kelemahan minor"/>
    <s v="cukup memadai tetapi tidak selalu konsisten dengan penerapan"/>
    <s v="memiliki kelemahan"/>
    <s v="memiliki kelemahan yang sangat signifikan"/>
    <x v="5"/>
    <d v="2022-01-01T00:00:00"/>
    <x v="0"/>
  </r>
  <r>
    <s v="III.E.3.i01/01/2022"/>
    <s v="III.E.3.i"/>
    <x v="3"/>
    <x v="0"/>
    <s v="Proses Manajemen Risiko untuk Risiko Reputasi _ _ _ _ _ _ dalam mengidentifikasi, mengukur, mengedalikan, dan memantau Risiko Reputasi"/>
    <s v="sangat memadai"/>
    <s v="memadai"/>
    <s v="cukup memadai"/>
    <s v="kurang memadai"/>
    <s v="tidak memadai"/>
    <x v="5"/>
    <d v="2022-01-01T00:00:00"/>
    <x v="0"/>
  </r>
  <r>
    <s v="III.E.3.j01/01/2022"/>
    <s v="III.E.3.j"/>
    <x v="3"/>
    <x v="0"/>
    <s v="Sistem informasi Manajemen Risiko untuk Risiko Reputasi _ _ _ _ _ _"/>
    <s v="sangat baik sehingga menghasilkan laporan Risiko Reputasi yang komprehensif dan terintegrasi kepada Direksi dan Dewan Komisaris"/>
    <s v="baik, termasuk pelaporan Risiko Reputasi kepada Direksi dan Dewan Komisaris, tetapi terdapat kelemahan minor yang dapat diperbaiki dengan mudah"/>
    <s v="memenuhi ekspektasi minimum tetapi terdapat beberapa kelemahan termasuk pelaporan kepada Direksi dan Dewan Komisaris yang membutuhkan perhatian manajemen"/>
    <s v="terdapat kelemahan signifikan termasuk pelaporan kepada Direksi dan Dewan Komisaris yang memerlukan perbaikan segera"/>
    <s v="terdapat kelemahan fundamental"/>
    <x v="5"/>
    <d v="2022-01-01T00:00:00"/>
    <x v="0"/>
  </r>
  <r>
    <s v="III.E.3.k01/01/2022"/>
    <s v="III.E.3.k"/>
    <x v="3"/>
    <x v="0"/>
    <s v="SDM _ _ _ _ _ dari baik sisi kuantitas maupun kualitas pada fungsi Manajemen Risiko untuk Risiko Reputasi"/>
    <s v="sangat memadai"/>
    <s v="memadai"/>
    <s v="cukup memadai"/>
    <s v="kurang memadai"/>
    <s v="tidak memadai"/>
    <x v="5"/>
    <d v="2022-01-01T00:00:00"/>
    <x v="0"/>
  </r>
  <r>
    <s v="III.E.3.l01/01/2022"/>
    <s v="III.E.3.l"/>
    <x v="3"/>
    <x v="0"/>
    <s v="Sistem pengendalian internal _ _ _ _ _ dalam mendukung pelaksanaan Manajemen Risiko untuk Risiko Reputasi"/>
    <s v="sangat efektif"/>
    <s v="efektif"/>
    <s v="cukup efektif"/>
    <s v="kurang efektif"/>
    <s v="tidak efektif"/>
    <x v="5"/>
    <d v="2022-01-01T00:00:00"/>
    <x v="0"/>
  </r>
  <r>
    <s v="III.E.3.m01/01/2022"/>
    <s v="III.E.3.m"/>
    <x v="3"/>
    <x v="0"/>
    <s v="Pelaksanaan kaji ulang independen oleh fungsi audit internal dan fungsi yang melakukan kaji ulang independen"/>
    <s v="sangat memadai baik dari sisi metodologi, frekuensi,_x000a_maupun pelaporan kepada Direksi dan Dewan Komisaris"/>
    <s v="memadai baik dari sisi metodologi, frekuensi, maupun pelaporan kepada Direksi dan Dewan Komisaris"/>
    <s v="cukup memadai, tetapi terdapat beberapa kelemahan pada metodologi, frekuensi, dan/atau pelaporan kepada Direksi dan Dewan Komisaris yang memerlukan perhatian manajemen"/>
    <s v="kurang memadai, terdapat kelemahan pada metodologi, frekuensi, dan/atau pelaporan kepada Direksi dan Dewan Komisaris yang membutuhkan perbaikan segera"/>
    <s v="kurang atau tidak memadai, terdapat kelemahan pada metodologi, frekuensi, dan/atau pelaporan kepada Direksi dan Dewan Komisaris yang memerlukan perbaikan fundamental"/>
    <x v="5"/>
    <d v="2022-01-01T00:00:00"/>
    <x v="0"/>
  </r>
  <r>
    <s v="III.E.3.n01/01/2022"/>
    <s v="III.E.3.n"/>
    <x v="3"/>
    <x v="0"/>
    <s v="Secara umum _ _ _ _ _ berdasarkan hasil kaji ulang independen"/>
    <s v="tidak terdapat kelemahan yang signifikan"/>
    <s v="terdapat kelemahan namun tidak signifikan"/>
    <s v="terdapat kelemahan yang cukup signifikan dan memerlukan perhatian manajemen"/>
    <s v="terdapat kelemahan yang signifikan dan memerlukan tindakan manajemen"/>
    <s v="terdapat kelemahan yang sangat signifikan dan tindakannya di luar kemampuan manajemen"/>
    <x v="5"/>
    <d v="2022-01-01T00:00:00"/>
    <x v="0"/>
  </r>
  <r>
    <s v="III.E.3.o01/01/2022"/>
    <s v="III.E.3.o"/>
    <x v="3"/>
    <x v="0"/>
    <s v="Tindak lanjut atas kaji ulang independen telah dilaksanakan dengan _ _ _ _ _ _ _"/>
    <s v="sangat memadai"/>
    <s v="memadai"/>
    <s v="cukup memadai"/>
    <s v="kurang memadai"/>
    <s v="tidak memadai atau tidak ada"/>
    <x v="5"/>
    <d v="2022-01-01T00:00:00"/>
    <x v="0"/>
  </r>
  <r>
    <s v="III.E.2.a01/01/2022"/>
    <s v="III.E.2.a"/>
    <x v="4"/>
    <x v="1"/>
    <s v="_ _ _ _ _ pengaruh reputasi negatif dari pengurus, pemegang saham Perusahaan, dan perusahaan terkait, _ _ _ _ _ _ _"/>
    <s v="secara umum tidak terdapat; bahkan diharapkan pengurus, pemegang saham Perusahaan, dan perusahaan terkait dapat memberikan pengaruh sangat positif terhadap reputasi Perusahaan"/>
    <s v="terdapat; namun skala pengaruhnya kecil (kurang signifikan) dan dapat dimitigasi dengan baik"/>
    <s v="terdapat;  dengan skala pengaruh cukup signifikan namun masih dapat dikendalikan"/>
    <s v="terdapat; dengan skala pengaruh yang signifikan dan memerlukan perhatian khusus manajemen"/>
    <s v="terdapat; dengan skala pengaruh yang sangat signifikan dan memerlukan tindak lanjut dan manajemen dengan segera"/>
    <x v="5"/>
    <d v="2022-01-01T00:00:00"/>
    <x v="0"/>
  </r>
  <r>
    <s v="III.E.2.b01/01/2022"/>
    <s v="III.E.2.b"/>
    <x v="4"/>
    <x v="1"/>
    <s v="Pelanggaran atau potensi pelanggaran _ _ _ _ _ _ "/>
    <s v="sangat minim (tidak signifikan) atas etika bisnis, Perusahaan memiliki reputasi sebagai Perusahaan yang sangat menjunjung tinggi etika bisnis"/>
    <s v="kurang signifikan atas etika bisnis, Perusahaan memiliki reputasi sebagai Perusahaan yang menjunjung tinggi etika bisnis"/>
    <s v="terjadi dan skala pengaruhnya cukup signifikan dan memerlukan perhatian manajemen"/>
    <s v="terjadi dengan skala pengaruh signifikan dan memerlukan perhatian secara khusus"/>
    <s v="terjadi dengan skala sangat signifikan dan memerlukan tindak lanjut dan manajemen dengan segera"/>
    <x v="5"/>
    <d v="2022-01-01T00:00:00"/>
    <x v="0"/>
  </r>
  <r>
    <s v="III.E.2.c01/01/2022"/>
    <s v="III.E.2.c"/>
    <x v="4"/>
    <x v="1"/>
    <s v="Produk dan/atau aktivitas Perusahaan _ _ _ _ _ _ _"/>
    <s v="sederhana dan mudah dipahami oleh konsumen"/>
    <s v="kurang sederhana, namun relatif tidak membutuhkan pemahaman khusus konsumen"/>
    <s v="cukup kompleks, sehingga pada tingkat tertentu memerlukan pemahaman khusus konsumen"/>
    <s v="kompleks sehingga memerlukan pemahaman khusus konsumen"/>
    <s v="sangat kompleks yang sangat memerlukan pemahaman khusus konsumen"/>
    <x v="5"/>
    <d v="2022-01-01T00:00:00"/>
    <x v="0"/>
  </r>
  <r>
    <s v="III.E.2.d01/01/2022"/>
    <s v="III.E.2.d"/>
    <x v="4"/>
    <x v="1"/>
    <s v="Jumlah dan nilai kerja sama bisnis yang dilakukan dengan mitra bisnis _ _ _ _ _ _"/>
    <s v="tidak signifikan"/>
    <s v="kurang signifikan"/>
    <s v="cukup signifikan"/>
    <s v="signifikan"/>
    <s v="sangat signifikan"/>
    <x v="5"/>
    <d v="2022-01-01T00:00:00"/>
    <x v="0"/>
  </r>
  <r>
    <s v="III.E.2.e01/01/2022"/>
    <s v="III.E.2.e"/>
    <x v="4"/>
    <x v="1"/>
    <s v="Frekuensi, sifat, dan ruang lingkup pemberitaan negatif terhadap perusahaan _ _ _ _ _ _"/>
    <s v="tidak signifikan"/>
    <s v="kurang signifikan"/>
    <s v="cukup signifikan"/>
    <s v="signifikan"/>
    <s v="sangat signifikan"/>
    <x v="5"/>
    <d v="2022-01-01T00:00:00"/>
    <x v="0"/>
  </r>
  <r>
    <s v="III.E.2.f01/01/2022"/>
    <s v="III.E.2.f"/>
    <x v="4"/>
    <x v="1"/>
    <s v="Frekuensi dan substansi penyampaian keluhan konsumen _ _ _ _ _ _ _"/>
    <s v="tidak material"/>
    <s v="kurang material"/>
    <s v="cukup material"/>
    <s v="material"/>
    <s v="sangat material"/>
    <x v="5"/>
    <d v="2022-01-01T00:00:00"/>
    <x v="0"/>
  </r>
  <r>
    <s v="III.E.1.1.a01/01/2022"/>
    <s v="III.E.1.1.a"/>
    <x v="4"/>
    <x v="2"/>
    <s v="Kredibilitas pengurus dan pemilik"/>
    <m/>
    <m/>
    <m/>
    <m/>
    <m/>
    <x v="5"/>
    <d v="2022-01-01T00:00:00"/>
    <x v="0"/>
  </r>
  <r>
    <s v="III.E.1.1.b01/01/2022"/>
    <s v="III.E.1.1.b"/>
    <x v="4"/>
    <x v="2"/>
    <s v="Kejadian reputasi (reputational event) pada pengurus dan pemilik"/>
    <m/>
    <m/>
    <m/>
    <m/>
    <m/>
    <x v="3"/>
    <d v="2022-01-01T00:00:00"/>
    <x v="0"/>
  </r>
  <r>
    <s v="III.E.1.2.a01/01/2022"/>
    <s v="III.E.1.2.a"/>
    <x v="4"/>
    <x v="2"/>
    <s v="Transparansi informasi keuangan"/>
    <m/>
    <m/>
    <m/>
    <m/>
    <m/>
    <x v="5"/>
    <d v="2022-01-01T00:00:00"/>
    <x v="0"/>
  </r>
  <r>
    <s v="III.E.1.2.b01/01/2022"/>
    <s v="III.E.1.2.b"/>
    <x v="4"/>
    <x v="2"/>
    <s v="Kerjasama bisnis dengan pemangku kepentingan lain"/>
    <m/>
    <m/>
    <m/>
    <m/>
    <m/>
    <x v="5"/>
    <d v="2022-01-01T00:00:00"/>
    <x v="0"/>
  </r>
  <r>
    <s v="III.E.1.2.c01/01/2022"/>
    <s v="III.E.1.2.c"/>
    <x v="4"/>
    <x v="2"/>
    <s v="Transparansi pemberian jasa keperantaraan/konsultasi"/>
    <m/>
    <m/>
    <m/>
    <m/>
    <m/>
    <x v="5"/>
    <d v="2022-01-01T00:00:00"/>
    <x v="0"/>
  </r>
  <r>
    <s v="III.E.1.2.d01/01/2022"/>
    <s v="III.E.1.2.d"/>
    <x v="4"/>
    <x v="2"/>
    <s v="Pemberian jasa keperantaraan/konsultasi tanpa izin Otoritas Jasa Keuangan"/>
    <m/>
    <m/>
    <m/>
    <m/>
    <m/>
    <x v="5"/>
    <d v="2022-01-01T00:00:00"/>
    <x v="0"/>
  </r>
  <r>
    <s v="III.E.1.2.e01/01/2022"/>
    <s v="III.E.1.2.e"/>
    <x v="4"/>
    <x v="2"/>
    <s v="Perusahaan melakukan penahanan premi"/>
    <m/>
    <m/>
    <m/>
    <m/>
    <m/>
    <x v="5"/>
    <d v="2022-01-01T00:00:00"/>
    <x v="0"/>
  </r>
  <r>
    <s v="III.E.1.3.a01/01/2022"/>
    <s v="III.E.1.3.a"/>
    <x v="4"/>
    <x v="2"/>
    <s v="Jumlah dan tingkat penggunaan konsumen atas produk dan/atau jasa Perusahaan yang kompleks"/>
    <m/>
    <m/>
    <m/>
    <m/>
    <m/>
    <x v="5"/>
    <d v="2022-01-01T00:00:00"/>
    <x v="0"/>
  </r>
  <r>
    <s v="III.E.1.3.b01/01/2022"/>
    <s v="III.E.1.3.b"/>
    <x v="4"/>
    <x v="2"/>
    <s v="Jumlah dan materialitas kerja sama Perusahaan dengan mitra bisnis"/>
    <m/>
    <m/>
    <m/>
    <m/>
    <m/>
    <x v="5"/>
    <d v="2022-01-01T00:00:00"/>
    <x v="0"/>
  </r>
  <r>
    <s v="III.E.1.4.a01/01/2022"/>
    <s v="III.E.1.4.a"/>
    <x v="4"/>
    <x v="2"/>
    <s v="Frekuensi dan materialitas pemberitaan negatif tentang Perusahaan dalam 1 (satu) tahun"/>
    <m/>
    <m/>
    <m/>
    <m/>
    <m/>
    <x v="5"/>
    <d v="2022-01-01T00:00:00"/>
    <x v="0"/>
  </r>
  <r>
    <s v="III.E.1.4.b01/01/2022"/>
    <s v="III.E.1.4.b"/>
    <x v="4"/>
    <x v="2"/>
    <s v="Jenis media dan ruang lingkup pemberitaan"/>
    <m/>
    <m/>
    <m/>
    <m/>
    <m/>
    <x v="5"/>
    <d v="2022-01-01T00:00:00"/>
    <x v="0"/>
  </r>
  <r>
    <s v="III.E.1.5.a01/01/2022"/>
    <s v="III.E.1.5.a"/>
    <x v="4"/>
    <x v="2"/>
    <s v="Frekuensi keluhan konsumen"/>
    <m/>
    <m/>
    <m/>
    <m/>
    <m/>
    <x v="5"/>
    <d v="2022-01-01T00:00:00"/>
    <x v="0"/>
  </r>
  <r>
    <s v="III.E.1.5.b01/01/2022"/>
    <s v="III.E.1.5.b"/>
    <x v="4"/>
    <x v="2"/>
    <s v="Frekuensi penanganan penyelesaian pengaduan konsumen"/>
    <m/>
    <m/>
    <m/>
    <m/>
    <m/>
    <x v="5"/>
    <d v="2022-01-01T00:00:00"/>
    <x v="0"/>
  </r>
  <r>
    <s v="III.E.1.5.c01/01/2022"/>
    <s v="III.E.1.5.c"/>
    <x v="4"/>
    <x v="2"/>
    <s v="Materialitas keluhan konsumen"/>
    <m/>
    <m/>
    <m/>
    <m/>
    <m/>
    <x v="5"/>
    <d v="2022-01-01T00:00:00"/>
    <x v="0"/>
  </r>
  <r>
    <s v="III.A.3.a01/01/2022"/>
    <s v="III.A.3.a"/>
    <x v="5"/>
    <x v="0"/>
    <s v="Perumusan tingkat Risiko yang akan diambil (risk appetite) dan toleransi risiko (risk tolerance)_ _ _ _ _ _ _ _ dengan sasaran strategis dan strategi bisnis secara keseluruhan"/>
    <s v="sangat memadai serta telah sejalan"/>
    <s v="memadai dan telah sejalan"/>
    <s v="cukup memadai tapi tidak selalu sejalan"/>
    <s v="kurang memadai serta tidak sejalan"/>
    <s v="tidak memadai serta tidak terdapat kaitan"/>
    <x v="0"/>
    <d v="2022-01-01T00:00:00"/>
    <x v="0"/>
  </r>
  <r>
    <s v="III.A.3.b01/01/2022"/>
    <s v="III.A.3.b"/>
    <x v="5"/>
    <x v="0"/>
    <s v="Direksi dan Dewan Komisaris memiliki kesadaran (awareness) dan pemahaman yang _ _ _ _ _ _ _ _mengenai Manajemen Risiko untuk Risiko Strategis, sumber Risiko Strategis dan tingkat Risiko Strategis di Perusahaan"/>
    <s v="sangat baik"/>
    <s v="baik"/>
    <s v="cukup baik"/>
    <s v="lemah secara signifikan"/>
    <s v="sangat lemah"/>
    <x v="2"/>
    <d v="2022-01-01T00:00:00"/>
    <x v="0"/>
  </r>
  <r>
    <s v="III.A.3.c01/01/2022"/>
    <s v="III.A.3.c"/>
    <x v="5"/>
    <x v="0"/>
    <s v="Budaya Manajemen Risiko untuk Risiko Strategis _ _ _ _ _ _"/>
    <s v="sangat kuat dan telah diinternalisasikan dengan sangat baik pada seluruh level organisasi"/>
    <s v="kuat dan telah diinternalisasikan dengan baik pada seluruh level organisasi"/>
    <s v="cukup kuat dan telah diinternalisasikan dengan cukup baik tetapi belum selalu dilaksanakan secara konsisten"/>
    <s v="kurang kuat dan belum diinternalisasikan dengan baik pada setiap level organisasi"/>
    <s v="tidak kuat atau belum ada sama sekali"/>
    <x v="2"/>
    <d v="2022-01-01T00:00:00"/>
    <x v="0"/>
  </r>
  <r>
    <s v="III.A.3.d01/01/2022"/>
    <s v="III.A.3.d"/>
    <x v="5"/>
    <x v="0"/>
    <s v="Pelaksanaan tugas Direksi dan Dewan Komisaris secara umum/keseluruhan _ _ _ _ _ _ _ _"/>
    <s v="sangat memadai"/>
    <s v="memadai, terdapat beberapa kelemahan tetapi tidak signifikan dan dapat diperbaiki dengan segera"/>
    <s v="cukup memadai, tetapi terdapat kelemahan pada beberapa aspek penilaian yang perlu mendapat perhatian manajemen"/>
    <s v="kurang memadai, terdapat kelemahan pada berbagai aspek penilaian yang memerlukan perbaikan segera"/>
    <s v="tidak memadai, terdapat kelemahan yang siginifikan pada hampir seluruh aspek penilaian dan tindakan dan penyelesaiannya di luar kemampuan Perusahaan"/>
    <x v="2"/>
    <d v="2022-01-01T00:00:00"/>
    <x v="0"/>
  </r>
  <r>
    <s v="III.A.3.e01/01/2022"/>
    <s v="III.A.3.e"/>
    <x v="5"/>
    <x v="0"/>
    <s v="Fungsi Manajemen Risiko untuk Risiko Strategis _ _ _ _ _ _ _"/>
    <s v="independen, memiliki tugas dan tanggung jawab yang jelas, dan telah berjalan dengan sangat baik"/>
    <s v="memiliki tugas dan tanggung jawab yang jelas dan telah berjalan dengan baik, tetapi terdapat kelemahan minor yang dapat diselesaikan pada aktivitas bisnis normal"/>
    <s v="cukup baik, tetapi terdapat beberapa kelemahan termasuk pelaporan kepada Direksi dan Dewan Komisaris yang membutuhkan perhatian manajemen"/>
    <s v="memiliki kelemahan signifikan yang memerlukan perbaikan segera"/>
    <s v="memiliki kelemahan signifikan yang membutuhkan perbaikan fundamental"/>
    <x v="2"/>
    <d v="2022-01-01T00:00:00"/>
    <x v="0"/>
  </r>
  <r>
    <s v="III.A.3.f01/01/2022"/>
    <s v="III.A.3.f"/>
    <x v="5"/>
    <x v="0"/>
    <s v="Delegasi kewenangan _ _ _ _ _ _ _"/>
    <s v="dikendalikan dan dipantau secara berkala, dan telah berjalan dengan sangat baik"/>
    <s v="dikendalikan dan dipantau secara berkala serta telah berjalan dengan baik"/>
    <s v="cukup baik, tetapi pengendalian dan pemantauan tidak selalu dilaksanakan dengan baik"/>
    <s v="lemah, tidak dikendalikan dan tidak dipantau dengan baik"/>
    <s v="sangat lemah atau tidak ada"/>
    <x v="2"/>
    <d v="2022-01-01T00:00:00"/>
    <x v="0"/>
  </r>
  <r>
    <s v="III.A.3.g01/01/2022"/>
    <s v="III.A.3.g"/>
    <x v="5"/>
    <x v="0"/>
    <s v="Strategi Manajemen Risiko untuk Risiko Strategis _ _ _ _ _ _ _ dengan tingkat Risiko yang akan diambil (risk appetite) dan toleransi Risiko Strategis"/>
    <s v="sangat sejalan"/>
    <s v="sejalan"/>
    <s v="cukup sejalan"/>
    <s v="kurang sejalan"/>
    <s v="tidak sejalan"/>
    <x v="2"/>
    <d v="2022-01-01T00:00:00"/>
    <x v="0"/>
  </r>
  <r>
    <s v="III.A.3.h01/01/2022"/>
    <s v="III.A.3.h"/>
    <x v="5"/>
    <x v="0"/>
    <s v="Kebijakan, prosedur, dan penetapan limit untuk Risiko Strategis _ _ _ _ _ _ _"/>
    <s v="sangat memadai dan tersedia untuk seluruh area Manajemen Risiko untuk Risiko Strategis, sejalan dengan penerapan, dan dipahami dengan baik oleh pegawai"/>
    <s v="memadai dan tersedia untuk seluruh area Manajemen Risiko untuk Risiko Strategis, sejalan dengan penerapan, dan dipahami dengan baik oleh pegawai meskipun terdapat kelemahan minor"/>
    <s v="cukup memadai tetapi tidak selalu konsisten dengan penerapan"/>
    <s v="memiliki kelemahan"/>
    <s v="memiliki kelemahan yang sangat signifikan"/>
    <x v="2"/>
    <d v="2022-01-01T00:00:00"/>
    <x v="0"/>
  </r>
  <r>
    <s v="III.A.3.i01/01/2022"/>
    <s v="III.A.3.i"/>
    <x v="5"/>
    <x v="0"/>
    <s v="Proses Manajemen Risiko untuk Risiko Strategi _ _ _ _ _ _ dalam mengidentifikasi, mengukur, mengedalikan, dan memantau Risiko Strategis"/>
    <s v="sangat memadai"/>
    <s v="memadai"/>
    <s v="cukup memadai"/>
    <s v="kurang memadai"/>
    <s v="tidak memadai"/>
    <x v="2"/>
    <d v="2022-01-01T00:00:00"/>
    <x v="0"/>
  </r>
  <r>
    <s v="III.A.3.j01/01/2022"/>
    <s v="III.A.3.j"/>
    <x v="5"/>
    <x v="0"/>
    <s v="Sistem informasi Manajemen Risiko untuk Risiko Strategis _ _ _ _ _ _"/>
    <s v="sangat baik sehingga menghasilkan laporan Risiko Strategis yang komprehensif dan terintegrasi kepada Direksi dan Dewan Komisaris"/>
    <s v="baik, termasuk pelaporan Risiko Strategis kepada Direksi dan Dewan Komisaris, tetapi terdapat kelemahan minor yang dapat diperbaiki dengan mudah"/>
    <s v="memenuhi ekspektasi minimum tetapi terdapat beberapa kelemahan termasuk pelaporan kepada Direksi dan Dewan Komisaris yang membutuhkan perhatian manajemen"/>
    <s v="terdapat kelemahan signifikan termasuk pelaporan kepada Direksi dan Dewan Komisaris yang memerlukan perbaikan segera"/>
    <s v="terdapat kelemahan fundamental"/>
    <x v="2"/>
    <d v="2022-01-01T00:00:00"/>
    <x v="0"/>
  </r>
  <r>
    <s v="III.A.3.k01/01/2022"/>
    <s v="III.A.3.k"/>
    <x v="5"/>
    <x v="0"/>
    <s v="SDM _ _ _ _ _ dari baik sisi kuantitas maupun kualitas pada fungsi Manajemen Risiko untuk Risiko Strategis"/>
    <s v="sangat memadai"/>
    <s v="memadai"/>
    <s v="cukup memadai"/>
    <s v="kurang memadai"/>
    <s v="tidak memadai"/>
    <x v="2"/>
    <d v="2022-01-01T00:00:00"/>
    <x v="0"/>
  </r>
  <r>
    <s v="III.A.3.l01/01/2022"/>
    <s v="III.A.3.l"/>
    <x v="5"/>
    <x v="0"/>
    <s v="Sistem pengendalian internal _ _ _ _ _ dalam mendukung pelaksanaan Manajemen Risiko untuk Risiko Strategis"/>
    <s v="sangat efektif"/>
    <s v="efektif"/>
    <s v="cukup efektif"/>
    <s v="kurang efektif"/>
    <s v="tidak efektif"/>
    <x v="2"/>
    <d v="2022-01-01T00:00:00"/>
    <x v="0"/>
  </r>
  <r>
    <s v="III.A.3.m01/01/2022"/>
    <s v="III.A.3.m"/>
    <x v="5"/>
    <x v="0"/>
    <s v="Pelaksanaan kaji ulang independen oleh fungsi audit internal dan fungsi yang melakukan kaji ulang independen"/>
    <s v="sangat memadai baik dari sisi metodologi, frekuensi,_x000a_maupun pelaporan kepada Direksi dan Dewan Komisaris"/>
    <s v="memadai baik dari sisi metodologi, frekuensi, maupun pelaporan kepada Direksi dan Dewan Komisaris"/>
    <s v="cukup memadai, tetapi terdapat beberapa kelemahan pada metodologi, frekuensi, dan/atau pelaporan kepada Direksi dan Dewan Komisaris yang memerlukan perhatian manajemen"/>
    <s v="kurang memadai, terdapat kelemahan pada metodologi, frekuensi, dan/atau pelaporan kepada Direksi dan Dewan Komisaris yang membutuhkan perbaikan segera"/>
    <s v="kurang atau tidak memadai, terdapat kelemahan pada metodologi, frekuensi, dan/atau pelaporan kepada Direksi dan Dewan Komisaris yang memerlukan perbaikan fundamental"/>
    <x v="5"/>
    <d v="2022-01-01T00:00:00"/>
    <x v="0"/>
  </r>
  <r>
    <s v="III.A.3.n01/01/2022"/>
    <s v="III.A.3.n"/>
    <x v="5"/>
    <x v="0"/>
    <s v="Secara umum _ _ _ _ _ berdasarkan hasil kaji ulang independen"/>
    <s v="tidak terdapat kelemahan yang signifikan"/>
    <s v="terdapat kelemahan namun tidak signifikan"/>
    <s v="terdapat kelemahan yang cukup signifikan dan memerlukan perhatian manajemen"/>
    <s v="terdapat kelemahan yang signifikan dan memerlukan tindakan manajemen"/>
    <s v="terdapat kelemahan yang sangat signifikan dan tindakannya di luar kemampuan manajemen"/>
    <x v="2"/>
    <d v="2022-01-01T00:00:00"/>
    <x v="0"/>
  </r>
  <r>
    <s v="III.A.3.o01/01/2022"/>
    <s v="III.A.3.o"/>
    <x v="5"/>
    <x v="0"/>
    <s v="Tindak lanjut atas kaji ulang independen telah dilaksanakan dengan _ _ _ _ _ _ _"/>
    <s v="sangat memadai"/>
    <s v="memadai"/>
    <s v="cukup memadai"/>
    <s v="kurang memadai"/>
    <s v="tidak memadai atau tidak ada"/>
    <x v="2"/>
    <d v="2022-01-01T00:00:00"/>
    <x v="0"/>
  </r>
  <r>
    <s v="III.A.2.a01/01/2022"/>
    <s v="III.A.2.a"/>
    <x v="6"/>
    <x v="1"/>
    <s v="Perusahaan _ _ _ _ _ sesuai dengan kondisi lingkungan usaha"/>
    <s v="melanjutkan strategi yang sama atau memiliki beberapa strategi baru dengan tingkat keberhasilan strategi yang tinggi"/>
    <s v="melanjutkan strategi yang sama atau memiliki beberapa strategi baru namun masih dalam core bisnis dan kompetensi Perusahaan"/>
    <s v="menerapkan stategi baru untuk memasuki bisnis atau pasar baru namun masih dalam core business dan kompetensi Perusahaan"/>
    <s v="menerapkan strategi untuk memasuki bisnis atau pasar baru dengan tingkat keberhasilan yang belum dapat dipastikan"/>
    <s v="memiliki mayoritas strategi yang beralih kepada area yang berbeda yang bukan merupakan core business dan kompetensi"/>
    <x v="2"/>
    <d v="2022-01-01T00:00:00"/>
    <x v="0"/>
  </r>
  <r>
    <s v="III.A.2.b01/01/2022"/>
    <s v="III.A.2.b"/>
    <x v="6"/>
    <x v="1"/>
    <s v="Strategi Perusahaan tergolong berisiko _ _ _ _ _"/>
    <s v="berisiko konservatif atau rendah"/>
    <s v="berisiko rendah"/>
    <s v="berisiko cukup tinggi"/>
    <s v="berisiko tinggi"/>
    <s v="berisiko sangat tinggi"/>
    <x v="2"/>
    <d v="2022-01-01T00:00:00"/>
    <x v="0"/>
  </r>
  <r>
    <s v="III.A.2.c01/01/2022"/>
    <s v="III.A.2.c"/>
    <x v="6"/>
    <x v="1"/>
    <s v="Produk asuransi/reasuransi yang diperantarai atau yang dinilai risiko/kerugiannya, layanan, dan/atau aktivitas Perusahaan _ _ _ _ _ _ _"/>
    <s v="tergolong stabil, tidak kompleks, dan terdiversifikasi"/>
    <s v="tergolong tidak kompleks dan terdiversifikasi"/>
    <s v="secara umum terdiversifikasi, namun terdapat beberapa yang tergolong kompleks"/>
    <s v="terkonsentrasi dan tergolong kompleks"/>
    <s v="sangat terkonsentrasi dan tergolong kompleks"/>
    <x v="2"/>
    <d v="2022-01-01T00:00:00"/>
    <x v="0"/>
  </r>
  <r>
    <s v="III.A.2.d01/01/2022"/>
    <s v="III.A.2.d"/>
    <x v="6"/>
    <x v="1"/>
    <s v="Perusahaan memiliki _ _ _ _ _ _"/>
    <s v="keunggulan kompetitif yang stabil dan tidak terdapat ancaman dari kompetitor"/>
    <s v="keunggulan kompetitif dan ancaman kompetitor tergolong minor"/>
    <s v="keunggulan kompetitif yang moderat dan terdapat ancaman dari kompetitor"/>
    <s v="keunggulan kompetitif yang kurang, atau terdapat ancaman signifikan dari kompetitor"/>
    <s v="tidak ada keunggulan kompetitif dan terdapat ancaman sangat signifikan dari kompetitor"/>
    <x v="2"/>
    <d v="2022-01-01T00:00:00"/>
    <x v="0"/>
  </r>
  <r>
    <s v="III.A.2.e01/01/2022"/>
    <s v="III.A.2.e"/>
    <x v="6"/>
    <x v="1"/>
    <s v="Pencapaian rencana bisnis _ _ _ _ _ _"/>
    <s v="sangat memadai"/>
    <s v="memadai"/>
    <s v="cukup memadai"/>
    <s v="kurang memadai"/>
    <s v="tidak memadai"/>
    <x v="2"/>
    <d v="2022-01-01T00:00:00"/>
    <x v="0"/>
  </r>
  <r>
    <s v="III.A.1.1.a01/01/2022"/>
    <s v="III.A.1.1.a"/>
    <x v="6"/>
    <x v="2"/>
    <s v="Tahapan atau mekanisme penyusunan rencana strategis oleh Direksi"/>
    <m/>
    <m/>
    <m/>
    <m/>
    <m/>
    <x v="2"/>
    <d v="2022-01-01T00:00:00"/>
    <x v="0"/>
  </r>
  <r>
    <s v="III.A.1.1.b01/01/2022"/>
    <s v="III.A.1.1.b"/>
    <x v="6"/>
    <x v="2"/>
    <s v="Pemahaman Direksi atas keseluruhan rencana strategis Perusahaan"/>
    <m/>
    <m/>
    <m/>
    <m/>
    <m/>
    <x v="2"/>
    <d v="2022-01-01T00:00:00"/>
    <x v="0"/>
  </r>
  <r>
    <s v="III.A.1.1.c01/01/2022"/>
    <s v="III.A.1.1.c"/>
    <x v="6"/>
    <x v="2"/>
    <s v="Proses Perusahaan dalam melakukan formulasi strategi bisnis serta perubahan strategi bisnis yang dilakukan (jika ada)"/>
    <m/>
    <m/>
    <m/>
    <m/>
    <m/>
    <x v="2"/>
    <d v="2022-01-01T00:00:00"/>
    <x v="0"/>
  </r>
  <r>
    <s v="III.A.1.1.d01/01/2022"/>
    <s v="III.A.1.1.d"/>
    <x v="6"/>
    <x v="2"/>
    <s v="Strategi alternatif (kontinjen/emergent strategy) dalam hal terjadi perubahan lingkungan bisnis yang telah diantisipasi"/>
    <m/>
    <m/>
    <m/>
    <m/>
    <m/>
    <x v="2"/>
    <d v="2022-01-01T00:00:00"/>
    <x v="0"/>
  </r>
  <r>
    <s v="III.A.1.1.e01/01/2022"/>
    <s v="III.A.1.1.e"/>
    <x v="6"/>
    <x v="2"/>
    <s v="Penetapan tujuan strategis perlu mempertimbangkan faktor internal dan eksternal bisnis Perusahaan_x000a_Faktor internal antara lain: 1. visi, misi, dan arah bisnis yang ingin dicapai Perusahaan; 2. kultur organisasi, terutama dalam hal penetapan tujuan strategis mensyaratkan perubahan struktur organisasi dan penyesuaian proses bisnis; 3. faktor kemampuan organisasi yang mencakup antara lain SDM, infrastruktur, jaringan kantor, dan sistem informasi manajemen; dan 4. tingkat toleransi Risiko (risk tolerance) yaitu tingkat kemampuan keuangan Perusahaan dalam menyerap Risiko_x000a_Faktor eksternal perusahaan, antara lain: 1. kondisi makroekonomi; 2. perkembangan teknologi; 3. tingkat persaingan usaha; dan 4. perkembangan peraturan dan ketentuan yang ada"/>
    <m/>
    <m/>
    <m/>
    <m/>
    <m/>
    <x v="2"/>
    <d v="2022-01-01T00:00:00"/>
    <x v="0"/>
  </r>
  <r>
    <s v="III.A.1.2.a01/01/2022"/>
    <s v="III.A.1.2.a"/>
    <x v="6"/>
    <x v="2"/>
    <s v="Pilihan strategi perusahaan apakah cenderung menggunakan strategi berisiko tinggi atau strategi berisiko rendah"/>
    <m/>
    <m/>
    <m/>
    <m/>
    <m/>
    <x v="2"/>
    <d v="2022-01-01T00:00:00"/>
    <x v="0"/>
  </r>
  <r>
    <s v="III.A.1.3.a01/01/2022"/>
    <s v="III.A.1.3.a"/>
    <x v="6"/>
    <x v="2"/>
    <s v="Kondisi pasar dimana Perusahaan menjalankan kegiatan usaha"/>
    <m/>
    <m/>
    <m/>
    <m/>
    <m/>
    <x v="2"/>
    <d v="2022-01-01T00:00:00"/>
    <x v="0"/>
  </r>
  <r>
    <s v="III.A.1.3.b01/01/2022"/>
    <s v="III.A.1.3.b"/>
    <x v="6"/>
    <x v="2"/>
    <s v="Keunggulan kompetitif yang dimiliki oleh Perusahaan dibandingkan dengan kompetitornya"/>
    <m/>
    <m/>
    <m/>
    <m/>
    <m/>
    <x v="2"/>
    <d v="2022-01-01T00:00:00"/>
    <x v="0"/>
  </r>
  <r>
    <s v="III.A.1.3.c01/01/2022"/>
    <s v="III.A.1.3.c"/>
    <x v="6"/>
    <x v="2"/>
    <s v="Reputasi Perusahaan"/>
    <m/>
    <m/>
    <m/>
    <m/>
    <m/>
    <x v="2"/>
    <d v="2022-01-01T00:00:00"/>
    <x v="0"/>
  </r>
  <r>
    <s v="III.A.1.3.d01/01/2022"/>
    <s v="III.A.1.3.d"/>
    <x v="6"/>
    <x v="2"/>
    <s v="Kesiapan Perusahaan dalam menghadapi perubahan ekonomi secara makro dan dampaknya terhadap kondisi Perusahaan, antara lain suku bunga, inflasi, dan nilai tukar"/>
    <m/>
    <m/>
    <m/>
    <m/>
    <m/>
    <x v="2"/>
    <d v="2022-01-01T00:00:00"/>
    <x v="0"/>
  </r>
  <r>
    <s v="III.A.1.3.e01/01/2022"/>
    <s v="III.A.1.3.e"/>
    <x v="6"/>
    <x v="2"/>
    <s v="Strategi Perusahaan dalam mempertahankan atau meningkatkan posisi strategis di pasar yang akan dilakukan Perusahaan baik kegiatan usaha, cakupan wilayah operasional atau lainnya"/>
    <m/>
    <m/>
    <m/>
    <m/>
    <m/>
    <x v="2"/>
    <d v="2022-01-01T00:00:00"/>
    <x v="0"/>
  </r>
  <r>
    <s v="III.A.1.4.a01/01/2022"/>
    <s v="III.A.1.4.a"/>
    <x v="6"/>
    <x v="2"/>
    <s v="Tingkat deviasi antara sasaran strategis dengan hasil pencapaian Perusahaan_x000a_Penilaian tingkat deviasi antara sasaran strategis dengan hasil pencapaian Perusahaan secara kuantitatif dapat dinilai antara lain dengan:_x000a_1. Perbandingan realisasi terhadap target: a. Pendapatan jasa keperantaraan; b. Pendapatan jasa konsultasi; c. Pendapatan jasa penanganan klaim; d. Hasil investasi; dan e. Laba usaha._x000a_2. Realisasi pengembangan lini usaha yang baru terhadap target dan realisasi pengembangan jaringan kantor terhadap target"/>
    <m/>
    <m/>
    <m/>
    <m/>
    <m/>
    <x v="2"/>
    <d v="2022-01-01T00:00:00"/>
    <x v="0"/>
  </r>
  <r>
    <s v="III.A.1.4.b01/01/2022"/>
    <s v="III.A.1.4.b"/>
    <x v="6"/>
    <x v="2"/>
    <s v="Dokumentasi penyebab terjadinya deviasi rencana bisnis"/>
    <m/>
    <m/>
    <m/>
    <m/>
    <m/>
    <x v="2"/>
    <d v="2022-01-01T00:00: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4" minRefreshableVersion="3" itemPrintTitles="1" createdVersion="4" indent="0" outline="1" outlineData="1" multipleFieldFilters="0" chartFormat="1">
  <location ref="D16:E20" firstHeaderRow="1" firstDataRow="1" firstDataCol="1" rowPageCount="1" colPageCount="1"/>
  <pivotFields count="13">
    <pivotField showAll="0" defaultSubtotal="0"/>
    <pivotField showAll="0"/>
    <pivotField axis="axisRow" showAll="0">
      <items count="15">
        <item x="6"/>
        <item m="1" x="11"/>
        <item m="1" x="10"/>
        <item x="2"/>
        <item x="4"/>
        <item h="1" m="1" x="12"/>
        <item h="1" x="1"/>
        <item h="1" x="0"/>
        <item h="1" x="3"/>
        <item h="1" x="5"/>
        <item h="1" m="1" x="7"/>
        <item h="1" m="1" x="8"/>
        <item h="1" m="1" x="13"/>
        <item h="1" m="1" x="9"/>
        <item t="default"/>
      </items>
    </pivotField>
    <pivotField axis="axisPage" multipleItemSelectionAllowed="1" showAll="0" defaultSubtotal="0">
      <items count="37">
        <item x="2"/>
        <item h="1" x="1"/>
        <item h="1" x="0"/>
        <item h="1" m="1" x="3"/>
        <item h="1" m="1" x="36"/>
        <item h="1" m="1" x="18"/>
        <item h="1" m="1" x="29"/>
        <item h="1" m="1" x="15"/>
        <item h="1" m="1" x="32"/>
        <item h="1" m="1" x="4"/>
        <item h="1" m="1" x="30"/>
        <item h="1" m="1" x="26"/>
        <item h="1" m="1" x="21"/>
        <item h="1" m="1" x="16"/>
        <item h="1" m="1" x="28"/>
        <item h="1" m="1" x="20"/>
        <item h="1" m="1" x="13"/>
        <item h="1" m="1" x="25"/>
        <item h="1" m="1" x="19"/>
        <item h="1" m="1" x="14"/>
        <item h="1" m="1" x="27"/>
        <item h="1" m="1" x="11"/>
        <item h="1" m="1" x="7"/>
        <item h="1" m="1" x="12"/>
        <item h="1" m="1" x="23"/>
        <item h="1" m="1" x="8"/>
        <item h="1" m="1" x="35"/>
        <item h="1" m="1" x="6"/>
        <item h="1" m="1" x="9"/>
        <item h="1" m="1" x="31"/>
        <item h="1" m="1" x="5"/>
        <item h="1" m="1" x="10"/>
        <item h="1" m="1" x="33"/>
        <item h="1" m="1" x="24"/>
        <item h="1" m="1" x="22"/>
        <item h="1" m="1" x="17"/>
        <item h="1" m="1" x="34"/>
      </items>
    </pivotField>
    <pivotField showAll="0" defaultSubtotal="0"/>
    <pivotField showAll="0" defaultSubtotal="0"/>
    <pivotField showAll="0" defaultSubtotal="0"/>
    <pivotField showAll="0" defaultSubtotal="0"/>
    <pivotField showAll="0" defaultSubtotal="0"/>
    <pivotField showAll="0" defaultSubtotal="0"/>
    <pivotField dataField="1" showAll="0"/>
    <pivotField numFmtId="14" multipleItemSelectionAllowed="1" showAll="0"/>
    <pivotField showAll="0" defaultSubtotal="0">
      <items count="8">
        <item m="1" x="4"/>
        <item m="1" x="3"/>
        <item m="1" x="2"/>
        <item x="0"/>
        <item m="1" x="6"/>
        <item m="1" x="5"/>
        <item m="1" x="7"/>
        <item m="1" x="1"/>
      </items>
    </pivotField>
  </pivotFields>
  <rowFields count="1">
    <field x="2"/>
  </rowFields>
  <rowItems count="4">
    <i>
      <x/>
    </i>
    <i>
      <x v="3"/>
    </i>
    <i>
      <x v="4"/>
    </i>
    <i t="grand">
      <x/>
    </i>
  </rowItems>
  <colItems count="1">
    <i/>
  </colItems>
  <pageFields count="1">
    <pageField fld="3" hier="-1"/>
  </pageFields>
  <dataFields count="1">
    <dataField name="Skor" fld="10" subtotal="average" baseField="1" baseItem="0" numFmtId="2"/>
  </dataFields>
  <formats count="1">
    <format dxfId="114">
      <pivotArea outline="0" collapsedLevelsAreSubtotals="1" fieldPosition="0"/>
    </format>
  </formats>
  <chartFormats count="6">
    <chartFormat chart="0" format="2" series="1">
      <pivotArea type="data" outline="0" fieldPosition="0">
        <references count="2">
          <reference field="4294967294" count="1" selected="0">
            <x v="0"/>
          </reference>
          <reference field="2" count="1" selected="0">
            <x v="1"/>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0" format="4" series="1">
      <pivotArea type="data" outline="0" fieldPosition="0">
        <references count="2">
          <reference field="4294967294" count="1" selected="0">
            <x v="0"/>
          </reference>
          <reference field="2" count="1" selected="0">
            <x v="0"/>
          </reference>
        </references>
      </pivotArea>
    </chartFormat>
    <chartFormat chart="0" format="5" series="1">
      <pivotArea type="data" outline="0" fieldPosition="0">
        <references count="2">
          <reference field="4294967294" count="1" selected="0">
            <x v="0"/>
          </reference>
          <reference field="2" count="1" selected="0">
            <x v="2"/>
          </reference>
        </references>
      </pivotArea>
    </chartFormat>
    <chartFormat chart="0" format="6" series="1">
      <pivotArea type="data" outline="0" fieldPosition="0">
        <references count="2">
          <reference field="4294967294" count="1" selected="0">
            <x v="0"/>
          </reference>
          <reference field="2" count="1" selected="0">
            <x v="3"/>
          </reference>
        </references>
      </pivotArea>
    </chartFormat>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4" minRefreshableVersion="3" itemPrintTitles="1" createdVersion="4" indent="0" outline="1" outlineData="1" multipleFieldFilters="0" chartFormat="1">
  <location ref="J16:K21" firstHeaderRow="1" firstDataRow="1" firstDataCol="1" rowPageCount="1" colPageCount="1"/>
  <pivotFields count="13">
    <pivotField showAll="0" defaultSubtotal="0"/>
    <pivotField showAll="0"/>
    <pivotField axis="axisRow" showAll="0">
      <items count="15">
        <item h="1" m="1" x="10"/>
        <item h="1" x="2"/>
        <item h="1" m="1" x="11"/>
        <item h="1" x="4"/>
        <item h="1" x="6"/>
        <item x="5"/>
        <item x="0"/>
        <item m="1" x="12"/>
        <item x="1"/>
        <item x="3"/>
        <item h="1" m="1" x="7"/>
        <item h="1" m="1" x="8"/>
        <item h="1" m="1" x="13"/>
        <item h="1" m="1" x="9"/>
        <item t="default"/>
      </items>
    </pivotField>
    <pivotField axis="axisPage" multipleItemSelectionAllowed="1" showAll="0" defaultSubtotal="0">
      <items count="37">
        <item h="1" x="2"/>
        <item h="1" x="1"/>
        <item x="0"/>
        <item h="1" m="1" x="3"/>
        <item h="1" m="1" x="36"/>
        <item h="1" m="1" x="18"/>
        <item h="1" m="1" x="29"/>
        <item h="1" m="1" x="15"/>
        <item h="1" m="1" x="32"/>
        <item h="1" m="1" x="4"/>
        <item h="1" m="1" x="30"/>
        <item h="1" m="1" x="26"/>
        <item h="1" m="1" x="21"/>
        <item h="1" m="1" x="16"/>
        <item h="1" m="1" x="28"/>
        <item h="1" m="1" x="20"/>
        <item h="1" m="1" x="13"/>
        <item h="1" m="1" x="25"/>
        <item h="1" m="1" x="19"/>
        <item h="1" m="1" x="14"/>
        <item h="1" m="1" x="27"/>
        <item h="1" m="1" x="11"/>
        <item h="1" m="1" x="7"/>
        <item h="1" m="1" x="12"/>
        <item h="1" m="1" x="23"/>
        <item h="1" m="1" x="8"/>
        <item h="1" m="1" x="35"/>
        <item h="1" m="1" x="6"/>
        <item h="1" m="1" x="9"/>
        <item h="1" m="1" x="31"/>
        <item h="1" m="1" x="5"/>
        <item h="1" m="1" x="10"/>
        <item h="1" m="1" x="33"/>
        <item h="1" m="1" x="24"/>
        <item h="1" m="1" x="22"/>
        <item h="1" m="1" x="17"/>
        <item h="1" m="1" x="34"/>
      </items>
    </pivotField>
    <pivotField showAll="0" defaultSubtotal="0"/>
    <pivotField showAll="0" defaultSubtotal="0"/>
    <pivotField showAll="0" defaultSubtotal="0"/>
    <pivotField showAll="0" defaultSubtotal="0"/>
    <pivotField showAll="0" defaultSubtotal="0"/>
    <pivotField showAll="0" defaultSubtotal="0"/>
    <pivotField dataField="1" showAll="0"/>
    <pivotField numFmtId="14" showAll="0"/>
    <pivotField showAll="0" defaultSubtotal="0">
      <items count="8">
        <item m="1" x="4"/>
        <item m="1" x="3"/>
        <item m="1" x="2"/>
        <item x="0"/>
        <item m="1" x="6"/>
        <item m="1" x="5"/>
        <item m="1" x="7"/>
        <item m="1" x="1"/>
      </items>
    </pivotField>
  </pivotFields>
  <rowFields count="1">
    <field x="2"/>
  </rowFields>
  <rowItems count="5">
    <i>
      <x v="5"/>
    </i>
    <i>
      <x v="6"/>
    </i>
    <i>
      <x v="8"/>
    </i>
    <i>
      <x v="9"/>
    </i>
    <i t="grand">
      <x/>
    </i>
  </rowItems>
  <colItems count="1">
    <i/>
  </colItems>
  <pageFields count="1">
    <pageField fld="3" hier="-1"/>
  </pageFields>
  <dataFields count="1">
    <dataField name="Skor" fld="10" subtotal="average" baseField="1" baseItem="8" numFmtId="2"/>
  </dataFields>
  <formats count="1">
    <format dxfId="115">
      <pivotArea outline="0" collapsedLevelsAreSubtotals="1" fieldPosition="0"/>
    </format>
  </formats>
  <chartFormats count="11">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2" count="1" selected="0">
            <x v="7"/>
          </reference>
        </references>
      </pivotArea>
    </chartFormat>
    <chartFormat chart="0" format="6" series="1">
      <pivotArea type="data" outline="0" fieldPosition="0">
        <references count="2">
          <reference field="4294967294" count="1" selected="0">
            <x v="0"/>
          </reference>
          <reference field="2" count="1" selected="0">
            <x v="8"/>
          </reference>
        </references>
      </pivotArea>
    </chartFormat>
    <chartFormat chart="0" format="7" series="1">
      <pivotArea type="data" outline="0" fieldPosition="0">
        <references count="2">
          <reference field="4294967294" count="1" selected="0">
            <x v="0"/>
          </reference>
          <reference field="2" count="1" selected="0">
            <x v="6"/>
          </reference>
        </references>
      </pivotArea>
    </chartFormat>
    <chartFormat chart="0" format="8" series="1">
      <pivotArea type="data" outline="0" fieldPosition="0">
        <references count="2">
          <reference field="4294967294" count="1" selected="0">
            <x v="0"/>
          </reference>
          <reference field="2" count="1" selected="0">
            <x v="9"/>
          </reference>
        </references>
      </pivotArea>
    </chartFormat>
    <chartFormat chart="0" format="9" series="1">
      <pivotArea type="data" outline="0" fieldPosition="0">
        <references count="2">
          <reference field="4294967294" count="1" selected="0">
            <x v="0"/>
          </reference>
          <reference field="2" count="1" selected="0">
            <x v="5"/>
          </reference>
        </references>
      </pivotArea>
    </chartFormat>
    <chartFormat chart="0" format="10" series="1">
      <pivotArea type="data" outline="0" fieldPosition="0">
        <references count="2">
          <reference field="4294967294" count="1" selected="0">
            <x v="0"/>
          </reference>
          <reference field="2" count="1" selected="0">
            <x v="0"/>
          </reference>
        </references>
      </pivotArea>
    </chartFormat>
    <chartFormat chart="0" format="11" series="1">
      <pivotArea type="data" outline="0" fieldPosition="0">
        <references count="2">
          <reference field="4294967294" count="1" selected="0">
            <x v="0"/>
          </reference>
          <reference field="2" count="1" selected="0">
            <x v="1"/>
          </reference>
        </references>
      </pivotArea>
    </chartFormat>
    <chartFormat chart="0"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4" minRefreshableVersion="3" itemPrintTitles="1" createdVersion="4" indent="0" outline="1" outlineData="1" multipleFieldFilters="0" chartFormat="1">
  <location ref="A16:B20" firstHeaderRow="1" firstDataRow="1" firstDataCol="1" rowPageCount="1" colPageCount="1"/>
  <pivotFields count="13">
    <pivotField showAll="0" defaultSubtotal="0"/>
    <pivotField showAll="0"/>
    <pivotField axis="axisRow" showAll="0">
      <items count="15">
        <item x="6"/>
        <item m="1" x="11"/>
        <item m="1" x="10"/>
        <item x="2"/>
        <item x="4"/>
        <item h="1" m="1" x="12"/>
        <item h="1" x="1"/>
        <item h="1" x="0"/>
        <item h="1" x="3"/>
        <item h="1" x="5"/>
        <item h="1" m="1" x="7"/>
        <item h="1" m="1" x="8"/>
        <item h="1" m="1" x="13"/>
        <item h="1" m="1" x="9"/>
        <item t="default"/>
      </items>
    </pivotField>
    <pivotField axis="axisPage" multipleItemSelectionAllowed="1" showAll="0" defaultSubtotal="0">
      <items count="37">
        <item h="1" x="2"/>
        <item x="1"/>
        <item h="1" x="0"/>
        <item h="1" m="1" x="3"/>
        <item h="1" m="1" x="36"/>
        <item h="1" m="1" x="18"/>
        <item h="1" m="1" x="29"/>
        <item h="1" m="1" x="15"/>
        <item h="1" m="1" x="32"/>
        <item h="1" m="1" x="4"/>
        <item h="1" m="1" x="30"/>
        <item h="1" m="1" x="26"/>
        <item h="1" m="1" x="21"/>
        <item h="1" m="1" x="16"/>
        <item h="1" m="1" x="28"/>
        <item h="1" m="1" x="20"/>
        <item h="1" m="1" x="13"/>
        <item h="1" m="1" x="25"/>
        <item h="1" m="1" x="19"/>
        <item h="1" m="1" x="14"/>
        <item h="1" m="1" x="27"/>
        <item h="1" m="1" x="11"/>
        <item h="1" m="1" x="7"/>
        <item h="1" m="1" x="12"/>
        <item h="1" m="1" x="23"/>
        <item h="1" m="1" x="8"/>
        <item h="1" m="1" x="35"/>
        <item h="1" m="1" x="6"/>
        <item h="1" m="1" x="9"/>
        <item h="1" m="1" x="31"/>
        <item h="1" m="1" x="5"/>
        <item h="1" m="1" x="10"/>
        <item h="1" m="1" x="33"/>
        <item h="1" m="1" x="24"/>
        <item h="1" m="1" x="22"/>
        <item h="1" m="1" x="17"/>
        <item h="1" m="1" x="34"/>
      </items>
    </pivotField>
    <pivotField showAll="0" defaultSubtotal="0"/>
    <pivotField showAll="0" defaultSubtotal="0"/>
    <pivotField showAll="0" defaultSubtotal="0"/>
    <pivotField showAll="0" defaultSubtotal="0"/>
    <pivotField showAll="0" defaultSubtotal="0"/>
    <pivotField showAll="0" defaultSubtotal="0"/>
    <pivotField dataField="1" showAll="0"/>
    <pivotField numFmtId="14" multipleItemSelectionAllowed="1" showAll="0"/>
    <pivotField showAll="0" defaultSubtotal="0">
      <items count="8">
        <item m="1" x="4"/>
        <item m="1" x="3"/>
        <item m="1" x="2"/>
        <item x="0"/>
        <item m="1" x="6"/>
        <item m="1" x="5"/>
        <item m="1" x="7"/>
        <item m="1" x="1"/>
      </items>
    </pivotField>
  </pivotFields>
  <rowFields count="1">
    <field x="2"/>
  </rowFields>
  <rowItems count="4">
    <i>
      <x/>
    </i>
    <i>
      <x v="3"/>
    </i>
    <i>
      <x v="4"/>
    </i>
    <i t="grand">
      <x/>
    </i>
  </rowItems>
  <colItems count="1">
    <i/>
  </colItems>
  <pageFields count="1">
    <pageField fld="3" hier="-1"/>
  </pageFields>
  <dataFields count="1">
    <dataField name="Skor" fld="10" subtotal="average" baseField="1" baseItem="0" numFmtId="2"/>
  </dataFields>
  <formats count="1">
    <format dxfId="1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4" minRefreshableVersion="3" itemPrintTitles="1" createdVersion="4" indent="0" outline="1" outlineData="1" multipleFieldFilters="0" chartFormat="1">
  <location ref="G16:H20" firstHeaderRow="1" firstDataRow="1" firstDataCol="1" rowPageCount="1" colPageCount="1"/>
  <pivotFields count="13">
    <pivotField showAll="0" defaultSubtotal="0"/>
    <pivotField showAll="0"/>
    <pivotField axis="axisRow" showAll="0">
      <items count="15">
        <item x="6"/>
        <item m="1" x="11"/>
        <item m="1" x="10"/>
        <item x="2"/>
        <item x="4"/>
        <item h="1" m="1" x="12"/>
        <item h="1" x="1"/>
        <item h="1" x="0"/>
        <item h="1" x="3"/>
        <item h="1" x="5"/>
        <item h="1" m="1" x="7"/>
        <item h="1" m="1" x="8"/>
        <item h="1" m="1" x="13"/>
        <item h="1" m="1" x="9"/>
        <item t="default"/>
      </items>
    </pivotField>
    <pivotField axis="axisPage" multipleItemSelectionAllowed="1" showAll="0" defaultSubtotal="0">
      <items count="37">
        <item x="2"/>
        <item x="1"/>
        <item h="1" x="0"/>
        <item h="1" m="1" x="3"/>
        <item h="1" m="1" x="36"/>
        <item h="1" m="1" x="18"/>
        <item h="1" m="1" x="29"/>
        <item h="1" m="1" x="15"/>
        <item h="1" m="1" x="32"/>
        <item h="1" m="1" x="4"/>
        <item h="1" m="1" x="30"/>
        <item h="1" m="1" x="26"/>
        <item h="1" m="1" x="21"/>
        <item h="1" m="1" x="16"/>
        <item h="1" m="1" x="28"/>
        <item h="1" m="1" x="20"/>
        <item h="1" m="1" x="13"/>
        <item h="1" m="1" x="25"/>
        <item h="1" m="1" x="19"/>
        <item h="1" m="1" x="14"/>
        <item h="1" m="1" x="27"/>
        <item h="1" m="1" x="11"/>
        <item h="1" m="1" x="7"/>
        <item h="1" m="1" x="12"/>
        <item h="1" m="1" x="23"/>
        <item h="1" m="1" x="8"/>
        <item h="1" m="1" x="35"/>
        <item h="1" m="1" x="6"/>
        <item h="1" m="1" x="9"/>
        <item h="1" m="1" x="31"/>
        <item h="1" m="1" x="5"/>
        <item h="1" m="1" x="10"/>
        <item h="1" m="1" x="33"/>
        <item h="1" m="1" x="24"/>
        <item h="1" m="1" x="22"/>
        <item h="1" m="1" x="17"/>
        <item h="1" m="1" x="34"/>
      </items>
    </pivotField>
    <pivotField showAll="0" defaultSubtotal="0"/>
    <pivotField showAll="0" defaultSubtotal="0"/>
    <pivotField showAll="0" defaultSubtotal="0"/>
    <pivotField showAll="0" defaultSubtotal="0"/>
    <pivotField showAll="0" defaultSubtotal="0"/>
    <pivotField showAll="0" defaultSubtotal="0"/>
    <pivotField dataField="1" showAll="0"/>
    <pivotField numFmtId="14" multipleItemSelectionAllowed="1" showAll="0"/>
    <pivotField showAll="0" defaultSubtotal="0">
      <items count="8">
        <item m="1" x="4"/>
        <item m="1" x="3"/>
        <item m="1" x="2"/>
        <item x="0"/>
        <item m="1" x="6"/>
        <item m="1" x="5"/>
        <item m="1" x="7"/>
        <item m="1" x="1"/>
      </items>
    </pivotField>
  </pivotFields>
  <rowFields count="1">
    <field x="2"/>
  </rowFields>
  <rowItems count="4">
    <i>
      <x/>
    </i>
    <i>
      <x v="3"/>
    </i>
    <i>
      <x v="4"/>
    </i>
    <i t="grand">
      <x/>
    </i>
  </rowItems>
  <colItems count="1">
    <i/>
  </colItems>
  <pageFields count="1">
    <pageField fld="3" hier="-1"/>
  </pageFields>
  <dataFields count="1">
    <dataField name="Skor" fld="10" subtotal="average" baseField="1" baseItem="0" numFmtId="2"/>
  </dataFields>
  <formats count="1">
    <format dxfId="117">
      <pivotArea outline="0" collapsedLevelsAreSubtotals="1" fieldPosition="0"/>
    </format>
  </formats>
  <chartFormats count="6">
    <chartFormat chart="0" format="2" series="1">
      <pivotArea type="data" outline="0" fieldPosition="0">
        <references count="2">
          <reference field="4294967294" count="1" selected="0">
            <x v="0"/>
          </reference>
          <reference field="2" count="1" selected="0">
            <x v="1"/>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0" format="4" series="1">
      <pivotArea type="data" outline="0" fieldPosition="0">
        <references count="2">
          <reference field="4294967294" count="1" selected="0">
            <x v="0"/>
          </reference>
          <reference field="2" count="1" selected="0">
            <x v="0"/>
          </reference>
        </references>
      </pivotArea>
    </chartFormat>
    <chartFormat chart="0" format="5" series="1">
      <pivotArea type="data" outline="0" fieldPosition="0">
        <references count="2">
          <reference field="4294967294" count="1" selected="0">
            <x v="0"/>
          </reference>
          <reference field="2" count="1" selected="0">
            <x v="2"/>
          </reference>
        </references>
      </pivotArea>
    </chartFormat>
    <chartFormat chart="0" format="6" series="1">
      <pivotArea type="data" outline="0" fieldPosition="0">
        <references count="2">
          <reference field="4294967294" count="1" selected="0">
            <x v="0"/>
          </reference>
          <reference field="2" count="1" selected="0">
            <x v="3"/>
          </reference>
        </references>
      </pivotArea>
    </chartFormat>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4" minRefreshableVersion="3" useAutoFormatting="1" itemPrintTitles="1" createdVersion="4" indent="0" outline="1" outlineData="1" chartFormat="2">
  <location ref="A5:C12" firstHeaderRow="1" firstDataRow="2" firstDataCol="1" rowPageCount="1" colPageCount="1"/>
  <pivotFields count="13">
    <pivotField showAll="0" defaultSubtotal="0"/>
    <pivotField showAll="0"/>
    <pivotField axis="axisCol" showAll="0">
      <items count="15">
        <item h="1" m="1" x="10"/>
        <item x="2"/>
        <item h="1" m="1" x="11"/>
        <item h="1" x="4"/>
        <item h="1" x="6"/>
        <item h="1" m="1" x="12"/>
        <item h="1" x="1"/>
        <item h="1" x="0"/>
        <item h="1" x="3"/>
        <item h="1" x="5"/>
        <item h="1" m="1" x="7"/>
        <item h="1" m="1" x="8"/>
        <item h="1" m="1" x="13"/>
        <item h="1" m="1" x="9"/>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dataField="1" showAll="0">
      <items count="13">
        <item m="1" x="9"/>
        <item m="1" x="6"/>
        <item m="1" x="8"/>
        <item m="1" x="11"/>
        <item m="1" x="7"/>
        <item m="1" x="10"/>
        <item x="2"/>
        <item x="5"/>
        <item x="0"/>
        <item x="3"/>
        <item x="4"/>
        <item x="1"/>
        <item t="default"/>
      </items>
    </pivotField>
    <pivotField numFmtId="14" multipleItemSelectionAllowed="1" showAll="0"/>
    <pivotField axis="axisPage" multipleItemSelectionAllowed="1" showAll="0" defaultSubtotal="0">
      <items count="8">
        <item m="1" x="4"/>
        <item m="1" x="3"/>
        <item x="0"/>
        <item m="1" x="5"/>
        <item m="1" x="7"/>
        <item m="1" x="6"/>
        <item m="1" x="1"/>
        <item m="1" x="2"/>
      </items>
    </pivotField>
  </pivotFields>
  <rowFields count="1">
    <field x="10"/>
  </rowFields>
  <rowItems count="6">
    <i>
      <x v="7"/>
    </i>
    <i>
      <x v="8"/>
    </i>
    <i>
      <x v="9"/>
    </i>
    <i>
      <x v="10"/>
    </i>
    <i>
      <x v="11"/>
    </i>
    <i t="grand">
      <x/>
    </i>
  </rowItems>
  <colFields count="1">
    <field x="2"/>
  </colFields>
  <colItems count="2">
    <i>
      <x v="1"/>
    </i>
    <i t="grand">
      <x/>
    </i>
  </colItems>
  <pageFields count="1">
    <pageField fld="12" hier="-1"/>
  </pageFields>
  <dataFields count="1">
    <dataField name="Count of Peringkat" fld="10" subtotal="count" baseField="8" baseItem="0"/>
  </dataFields>
  <chartFormats count="12">
    <chartFormat chart="0" format="0" series="1">
      <pivotArea type="data" outline="0" fieldPosition="0">
        <references count="2">
          <reference field="4294967294" count="1" selected="0">
            <x v="0"/>
          </reference>
          <reference field="2" count="1" selected="0">
            <x v="5"/>
          </reference>
        </references>
      </pivotArea>
    </chartFormat>
    <chartFormat chart="0" format="1" series="1">
      <pivotArea type="data" outline="0" fieldPosition="0">
        <references count="2">
          <reference field="4294967294" count="1" selected="0">
            <x v="0"/>
          </reference>
          <reference field="2" count="1" selected="0">
            <x v="6"/>
          </reference>
        </references>
      </pivotArea>
    </chartFormat>
    <chartFormat chart="0" format="2" series="1">
      <pivotArea type="data" outline="0" fieldPosition="0">
        <references count="2">
          <reference field="4294967294" count="1" selected="0">
            <x v="0"/>
          </reference>
          <reference field="2" count="1" selected="0">
            <x v="7"/>
          </reference>
        </references>
      </pivotArea>
    </chartFormat>
    <chartFormat chart="0" format="3" series="1">
      <pivotArea type="data" outline="0" fieldPosition="0">
        <references count="2">
          <reference field="4294967294" count="1" selected="0">
            <x v="0"/>
          </reference>
          <reference field="2" count="1" selected="0">
            <x v="8"/>
          </reference>
        </references>
      </pivotArea>
    </chartFormat>
    <chartFormat chart="0" format="4" series="1">
      <pivotArea type="data" outline="0" fieldPosition="0">
        <references count="2">
          <reference field="4294967294" count="1" selected="0">
            <x v="0"/>
          </reference>
          <reference field="2" count="1" selected="0">
            <x v="9"/>
          </reference>
        </references>
      </pivotArea>
    </chartFormat>
    <chartFormat chart="0" format="5" series="1">
      <pivotArea type="data" outline="0" fieldPosition="0">
        <references count="2">
          <reference field="4294967294" count="1" selected="0">
            <x v="0"/>
          </reference>
          <reference field="2" count="1" selected="0">
            <x v="2"/>
          </reference>
        </references>
      </pivotArea>
    </chartFormat>
    <chartFormat chart="0" format="6" series="1">
      <pivotArea type="data" outline="0" fieldPosition="0">
        <references count="2">
          <reference field="4294967294" count="1" selected="0">
            <x v="0"/>
          </reference>
          <reference field="2" count="1" selected="0">
            <x v="4"/>
          </reference>
        </references>
      </pivotArea>
    </chartFormat>
    <chartFormat chart="0" format="7" series="1">
      <pivotArea type="data" outline="0" fieldPosition="0">
        <references count="2">
          <reference field="4294967294" count="1" selected="0">
            <x v="0"/>
          </reference>
          <reference field="2" count="1" selected="0">
            <x v="3"/>
          </reference>
        </references>
      </pivotArea>
    </chartFormat>
    <chartFormat chart="0" format="12" series="1">
      <pivotArea type="data" outline="0" fieldPosition="0">
        <references count="2">
          <reference field="4294967294" count="1" selected="0">
            <x v="0"/>
          </reference>
          <reference field="2" count="1" selected="0">
            <x v="0"/>
          </reference>
        </references>
      </pivotArea>
    </chartFormat>
    <chartFormat chart="0" format="13" series="1">
      <pivotArea type="data" outline="0" fieldPosition="0">
        <references count="2">
          <reference field="4294967294" count="1" selected="0">
            <x v="0"/>
          </reference>
          <reference field="2" count="1" selected="0">
            <x v="1"/>
          </reference>
        </references>
      </pivotArea>
    </chartFormat>
    <chartFormat chart="0" format="14" series="1">
      <pivotArea type="data" outline="0" fieldPosition="0">
        <references count="1">
          <reference field="4294967294" count="1" selected="0">
            <x v="0"/>
          </reference>
        </references>
      </pivotArea>
    </chartFormat>
    <chartFormat chart="0" format="15" series="1">
      <pivotArea type="data" outline="0" fieldPosition="0">
        <references count="2">
          <reference field="4294967294" count="1" selected="0">
            <x v="0"/>
          </reference>
          <reference field="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colGrandTotals="0" itemPrintTitles="1" createdVersion="4" indent="0" outline="1" outlineData="1" multipleFieldFilters="0" chartFormat="1">
  <location ref="A5:G8" firstHeaderRow="1" firstDataRow="2" firstDataCol="1" rowPageCount="1" colPageCount="1"/>
  <pivotFields count="13">
    <pivotField showAll="0"/>
    <pivotField showAll="0"/>
    <pivotField axis="axisPage" showAll="0">
      <items count="15">
        <item m="1" x="10"/>
        <item x="2"/>
        <item m="1" x="11"/>
        <item x="4"/>
        <item x="6"/>
        <item m="1" x="12"/>
        <item x="1"/>
        <item x="0"/>
        <item x="3"/>
        <item x="5"/>
        <item m="1" x="7"/>
        <item m="1" x="8"/>
        <item m="1" x="13"/>
        <item m="1" x="9"/>
        <item t="default"/>
      </items>
    </pivotField>
    <pivotField showAll="0"/>
    <pivotField showAll="0"/>
    <pivotField showAll="0"/>
    <pivotField showAll="0"/>
    <pivotField showAll="0"/>
    <pivotField showAll="0"/>
    <pivotField showAll="0"/>
    <pivotField axis="axisCol" dataField="1" showAll="0">
      <items count="13">
        <item m="1" x="9"/>
        <item m="1" x="6"/>
        <item m="1" x="8"/>
        <item m="1" x="11"/>
        <item m="1" x="7"/>
        <item m="1" x="10"/>
        <item x="2"/>
        <item x="5"/>
        <item x="0"/>
        <item x="3"/>
        <item x="4"/>
        <item x="1"/>
        <item t="default"/>
      </items>
    </pivotField>
    <pivotField numFmtId="14" showAll="0"/>
    <pivotField axis="axisRow" showAll="0">
      <items count="9">
        <item x="0"/>
        <item m="1" x="3"/>
        <item m="1" x="5"/>
        <item m="1" x="4"/>
        <item m="1" x="7"/>
        <item m="1" x="6"/>
        <item m="1" x="1"/>
        <item m="1" x="2"/>
        <item t="default"/>
      </items>
    </pivotField>
  </pivotFields>
  <rowFields count="1">
    <field x="12"/>
  </rowFields>
  <rowItems count="2">
    <i>
      <x/>
    </i>
    <i t="grand">
      <x/>
    </i>
  </rowItems>
  <colFields count="1">
    <field x="10"/>
  </colFields>
  <colItems count="6">
    <i>
      <x v="6"/>
    </i>
    <i>
      <x v="7"/>
    </i>
    <i>
      <x v="8"/>
    </i>
    <i>
      <x v="9"/>
    </i>
    <i>
      <x v="10"/>
    </i>
    <i>
      <x v="11"/>
    </i>
  </colItems>
  <pageFields count="1">
    <pageField fld="2" hier="-1"/>
  </pageFields>
  <dataFields count="1">
    <dataField name="Count of Peringkat" fld="10" subtotal="count" baseField="12" baseItem="0"/>
  </dataFields>
  <chartFormats count="1">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isiko" sourceName="Risiko">
  <pivotTables>
    <pivotTable tabId="18" name="PivotTable13"/>
  </pivotTables>
  <data>
    <tabular pivotCacheId="3" showMissing="0">
      <items count="14">
        <i x="2" s="1"/>
        <i x="4"/>
        <i x="6"/>
        <i x="1"/>
        <i x="0"/>
        <i x="5"/>
        <i x="3" nd="1"/>
        <i x="9" nd="1"/>
        <i x="10" nd="1"/>
        <i x="11" nd="1"/>
        <i x="12" nd="1"/>
        <i x="13" nd="1"/>
        <i x="8" nd="1"/>
        <i x="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eriod1" sourceName="Period">
  <pivotTables>
    <pivotTable tabId="18" name="PivotTable13"/>
  </pivotTables>
  <data>
    <tabular pivotCacheId="3" showMissing="0">
      <items count="8">
        <i x="0" s="1"/>
        <i x="4" s="1" nd="1"/>
        <i x="3" s="1" nd="1"/>
        <i x="2" s="1" nd="1"/>
        <i x="6" s="1" nd="1"/>
        <i x="5" s="1" nd="1"/>
        <i x="7" s="1" nd="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eriod" sourceName="Period">
  <pivotTables>
    <pivotTable tabId="13" name="PivotTable17"/>
    <pivotTable tabId="13" name="PivotTable10"/>
    <pivotTable tabId="13" name="PivotTable11"/>
    <pivotTable tabId="13" name="PivotTable18"/>
  </pivotTables>
  <data>
    <tabular pivotCacheId="3" sortOrder="descending" showMissing="0">
      <items count="8">
        <i x="0" s="1"/>
        <i x="1" s="1" nd="1"/>
        <i x="7" s="1" nd="1"/>
        <i x="5" s="1" nd="1"/>
        <i x="6" s="1" nd="1"/>
        <i x="2" s="1" nd="1"/>
        <i x="3" s="1" nd="1"/>
        <i x="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isiko1" sourceName="Risiko">
  <pivotTables>
    <pivotTable tabId="29" name="PivotTable1"/>
  </pivotTables>
  <data>
    <tabular pivotCacheId="3" showMissing="0">
      <items count="14">
        <i x="2" s="1"/>
        <i x="4" s="1"/>
        <i x="6" s="1"/>
        <i x="1" s="1"/>
        <i x="0" s="1"/>
        <i x="5" s="1"/>
        <i x="3" s="1" nd="1"/>
        <i x="9" s="1" nd="1"/>
        <i x="10" s="1" nd="1"/>
        <i x="11" s="1" nd="1"/>
        <i x="12" s="1" nd="1"/>
        <i x="13" s="1" nd="1"/>
        <i x="8" s="1" nd="1"/>
        <i x="7"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eriod2" sourceName="Period">
  <pivotTables>
    <pivotTable tabId="29" name="PivotTable1"/>
  </pivotTables>
  <data>
    <tabular pivotCacheId="3" showMissing="0">
      <items count="8">
        <i x="0" s="1"/>
        <i x="4" s="1" nd="1"/>
        <i x="3" s="1" nd="1"/>
        <i x="2" s="1" nd="1"/>
        <i x="6" s="1" nd="1"/>
        <i x="5" s="1" nd="1"/>
        <i x="7"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eriod 3" cache="Slicer_Period" caption="Periode"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eriod" cache="Slicer_Period" caption="Periode"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Risiko" cache="Slicer_Risiko" caption="Risiko" lockedPosition="1" rowHeight="241300"/>
  <slicer name="Period 1" cache="Slicer_Period1" caption="Periode" lockedPosition="1"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Risiko 1" cache="Slicer_Risiko1" caption="Risiko" lockedPosition="1" rowHeight="241300"/>
  <slicer name="Period 2" cache="Slicer_Period2" caption="Periode" lockedPosition="1" rowHeight="241300"/>
</slicers>
</file>

<file path=xl/tables/table1.xml><?xml version="1.0" encoding="utf-8"?>
<table xmlns="http://schemas.openxmlformats.org/spreadsheetml/2006/main" id="1" name="Table102" displayName="Table102" ref="C9:F15" totalsRowShown="0" headerRowDxfId="133" dataDxfId="132">
  <autoFilter ref="C9:F15"/>
  <tableColumns count="4">
    <tableColumn id="1" name="Jenis Risiko" dataDxfId="131"/>
    <tableColumn id="2" name="Risiko Inherent" dataDxfId="130">
      <calculatedColumnFormula>IFERROR(ROUND('Risiko Komposit'!B7,0),"Tidak tersedia")</calculatedColumnFormula>
    </tableColumn>
    <tableColumn id="3" name="KPMR" dataDxfId="129">
      <calculatedColumnFormula>IFERROR(ROUND('Risiko Komposit'!C7,0),"Tidak tersedia")</calculatedColumnFormula>
    </tableColumn>
    <tableColumn id="5" name="Peringkat Komposit" dataDxfId="128">
      <calculatedColumnFormula>IFERROR(ROUND('Risiko Komposit'!E7,0),"Tidak tersedia")</calculatedColumnFormula>
    </tableColumn>
  </tableColumns>
  <tableStyleInfo name="TableStyleMedium1" showFirstColumn="0" showLastColumn="0" showRowStripes="1" showColumnStripes="0"/>
</table>
</file>

<file path=xl/tables/table2.xml><?xml version="1.0" encoding="utf-8"?>
<table xmlns="http://schemas.openxmlformats.org/spreadsheetml/2006/main" id="10" name="Table10" displayName="Table10" ref="A6:E12" totalsRowShown="0" headerRowDxfId="113" dataDxfId="112">
  <autoFilter ref="A6:E12"/>
  <tableColumns count="5">
    <tableColumn id="1" name="Jenis Risiko" dataDxfId="111"/>
    <tableColumn id="2" name="Risiko Inherent" dataDxfId="110"/>
    <tableColumn id="3" name="KPMR" dataDxfId="109"/>
    <tableColumn id="4" name="Skor Komposit" dataDxfId="108">
      <calculatedColumnFormula>IFERROR((AVERAGE(B7:C7)),"Not Available")</calculatedColumnFormula>
    </tableColumn>
    <tableColumn id="5" name="Peringkat Komposit" dataDxfId="107">
      <calculatedColumnFormula>IFERROR(((IF(OR((ISBLANK(B7)),(ISBLANK(C7)))," ",(VLOOKUP((ROUND(B7,0))&amp;(ROUND(C7,0)),Index!D:E,2,0))))),"Not Available")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RisikoStrategis" displayName="RisikoStrategis" ref="A6:K39" totalsRowShown="0" headerRowDxfId="103" dataDxfId="101" headerRowBorderDxfId="102" tableBorderDxfId="100" totalsRowBorderDxfId="99">
  <autoFilter ref="A6:K39"/>
  <tableColumns count="11">
    <tableColumn id="1" name="No" dataDxfId="98"/>
    <tableColumn id="2" name="Risiko" dataDxfId="97"/>
    <tableColumn id="3" name="Kategori" dataDxfId="96"/>
    <tableColumn id="4" name="Keterangan/Indikator" dataDxfId="95"/>
    <tableColumn id="5" name="1 (Kuat/Rendah)" dataDxfId="94"/>
    <tableColumn id="6" name="2 (Agak Kuat/Sedang Rendah)" dataDxfId="93"/>
    <tableColumn id="7" name="3 (Cukup/Sedang)" dataDxfId="92"/>
    <tableColumn id="8" name="4 (Agak Lemah/Sedang Tinggi)" dataDxfId="91"/>
    <tableColumn id="9" name="5 (Lemah/Tinggi)" dataDxfId="90"/>
    <tableColumn id="10" name="Peringkat" dataDxfId="89"/>
    <tableColumn id="11" name="Periode" dataDxfId="88"/>
  </tableColumns>
  <tableStyleInfo name="TableStyleMedium2" showFirstColumn="0" showLastColumn="0" showRowStripes="1" showColumnStripes="0"/>
</table>
</file>

<file path=xl/tables/table4.xml><?xml version="1.0" encoding="utf-8"?>
<table xmlns="http://schemas.openxmlformats.org/spreadsheetml/2006/main" id="6" name="RisikoOperasional" displayName="RisikoOperasional" ref="A6:K50" totalsRowShown="0" headerRowDxfId="84" dataDxfId="82" headerRowBorderDxfId="83" tableBorderDxfId="81" totalsRowBorderDxfId="80">
  <autoFilter ref="A6:K50"/>
  <tableColumns count="11">
    <tableColumn id="1" name="No" dataDxfId="79"/>
    <tableColumn id="2" name="Risiko" dataDxfId="78"/>
    <tableColumn id="3" name="Kategori" dataDxfId="77"/>
    <tableColumn id="4" name="Keterangan/Indikator" dataDxfId="76"/>
    <tableColumn id="5" name="1 (Kuat/Rendah)" dataDxfId="75"/>
    <tableColumn id="6" name="2 (Agak Kuat/Sedang Rendah)" dataDxfId="74"/>
    <tableColumn id="7" name="3 (Cukup/Sedang)" dataDxfId="73"/>
    <tableColumn id="8" name="4 (Agak Lemah/Sedang Tinggi)" dataDxfId="72"/>
    <tableColumn id="9" name="5 (Lemah/Tinggi)" dataDxfId="71"/>
    <tableColumn id="10" name="Peringkat" dataDxfId="70"/>
    <tableColumn id="11" name="Periode" dataDxfId="69"/>
  </tableColumns>
  <tableStyleInfo name="TableStyleMedium2" showFirstColumn="0" showLastColumn="0" showRowStripes="1" showColumnStripes="0"/>
</table>
</file>

<file path=xl/tables/table5.xml><?xml version="1.0" encoding="utf-8"?>
<table xmlns="http://schemas.openxmlformats.org/spreadsheetml/2006/main" id="7" name="RisikoHukum" displayName="RisikoHukum" ref="A6:K38" totalsRowShown="0" headerRowDxfId="65" dataDxfId="63" headerRowBorderDxfId="64" tableBorderDxfId="62" totalsRowBorderDxfId="61">
  <autoFilter ref="A6:K38"/>
  <tableColumns count="11">
    <tableColumn id="1" name="No" dataDxfId="60"/>
    <tableColumn id="2" name="Risiko" dataDxfId="59"/>
    <tableColumn id="3" name="Kategori" dataDxfId="58"/>
    <tableColumn id="4" name="Keterangan/Indikator" dataDxfId="57"/>
    <tableColumn id="5" name="1 (Kuat/Rendah)" dataDxfId="56"/>
    <tableColumn id="6" name="2 (Agak Kuat/Sedang Rendah)" dataDxfId="55"/>
    <tableColumn id="7" name="3 (Cukup/Sedang)" dataDxfId="54"/>
    <tableColumn id="8" name="4 (Agak Lemah/Sedang Tinggi)" dataDxfId="53"/>
    <tableColumn id="9" name="5 (Lemah/Tinggi)" dataDxfId="52"/>
    <tableColumn id="10" name="Peringkat" dataDxfId="51"/>
    <tableColumn id="11" name="Periode" dataDxfId="50"/>
  </tableColumns>
  <tableStyleInfo name="TableStyleMedium2" showFirstColumn="0" showLastColumn="0" showRowStripes="1" showColumnStripes="0"/>
</table>
</file>

<file path=xl/tables/table6.xml><?xml version="1.0" encoding="utf-8"?>
<table xmlns="http://schemas.openxmlformats.org/spreadsheetml/2006/main" id="8" name="RisikoKepatuhan" displayName="RisikoKepatuhan" ref="A6:K33" totalsRowShown="0" headerRowDxfId="46" dataDxfId="44" headerRowBorderDxfId="45" tableBorderDxfId="43" totalsRowBorderDxfId="42">
  <autoFilter ref="A6:K33"/>
  <tableColumns count="11">
    <tableColumn id="1" name="No" dataDxfId="41"/>
    <tableColumn id="2" name="Risiko" dataDxfId="40"/>
    <tableColumn id="3" name="Kategori" dataDxfId="39"/>
    <tableColumn id="4" name="Keterangan/Indikator" dataDxfId="38"/>
    <tableColumn id="5" name="1 (Kuat/Rendah)" dataDxfId="37"/>
    <tableColumn id="6" name="2 (Agak Kuat/Sedang Rendah)" dataDxfId="36"/>
    <tableColumn id="7" name="3 (Cukup/Sedang)" dataDxfId="35"/>
    <tableColumn id="8" name="4 (Agak Lemah/Sedang Tinggi)" dataDxfId="34"/>
    <tableColumn id="9" name="5 (Lemah/Tinggi)" dataDxfId="33"/>
    <tableColumn id="10" name="Peringkat" dataDxfId="32"/>
    <tableColumn id="11" name="Periode" dataDxfId="31"/>
  </tableColumns>
  <tableStyleInfo name="TableStyleMedium2" showFirstColumn="0" showLastColumn="0" showRowStripes="1" showColumnStripes="0"/>
</table>
</file>

<file path=xl/tables/table7.xml><?xml version="1.0" encoding="utf-8"?>
<table xmlns="http://schemas.openxmlformats.org/spreadsheetml/2006/main" id="9" name="RisikoReputasi" displayName="RisikoReputasi" ref="A6:K41" totalsRowShown="0" headerRowDxfId="27" dataDxfId="25" headerRowBorderDxfId="26" tableBorderDxfId="24" totalsRowBorderDxfId="23">
  <autoFilter ref="A6:K41"/>
  <tableColumns count="11">
    <tableColumn id="1" name="No" dataDxfId="22"/>
    <tableColumn id="2" name="Risiko" dataDxfId="21"/>
    <tableColumn id="3" name="Kategori" dataDxfId="20"/>
    <tableColumn id="4" name="Keterangan/Indikator" dataDxfId="19"/>
    <tableColumn id="5" name="1 (Kuat/Rendah)" dataDxfId="18"/>
    <tableColumn id="6" name="2 (Agak Kuat/Sedang Rendah)" dataDxfId="17"/>
    <tableColumn id="7" name="3 (Cukup/Sedang)" dataDxfId="16"/>
    <tableColumn id="8" name="4 (Agak Lemah/Sedang Tinggi)" dataDxfId="15"/>
    <tableColumn id="9" name="5 (Lemah/Tinggi)" dataDxfId="14"/>
    <tableColumn id="10" name="Peringkat" dataDxfId="13"/>
    <tableColumn id="11" name="Periode" dataDxfId="12"/>
  </tableColumns>
  <tableStyleInfo name="TableStyleMedium2" showFirstColumn="0" showLastColumn="0" showRowStripes="1" showColumnStripes="0"/>
</table>
</file>

<file path=xl/tables/table8.xml><?xml version="1.0" encoding="utf-8"?>
<table xmlns="http://schemas.openxmlformats.org/spreadsheetml/2006/main" id="2" name="Table2" displayName="Table2" ref="A4:M100" totalsRowShown="0">
  <autoFilter ref="A4:M100"/>
  <tableColumns count="13">
    <tableColumn id="1" name="Key" dataDxfId="9">
      <calculatedColumnFormula>Table2[[#This Row],[No]]&amp;(TEXT(Table2[[#This Row],[Periode]],"dd/mm/yyyy"))</calculatedColumnFormula>
    </tableColumn>
    <tableColumn id="13" name="No"/>
    <tableColumn id="10" name="Risiko"/>
    <tableColumn id="11" name="Kategori"/>
    <tableColumn id="2" name="Keterangan/Indikator" dataDxfId="8"/>
    <tableColumn id="3" name="1 (Kuat/Rendah)" dataDxfId="7"/>
    <tableColumn id="4" name="2 (Cukup Kuat/Sedang Rendah)" dataDxfId="6"/>
    <tableColumn id="5" name="3 (Cukup/Sedang)" dataDxfId="5"/>
    <tableColumn id="6" name="4 (Agak Lemah/Sedang Tinggi)" dataDxfId="4"/>
    <tableColumn id="7" name="5 (Lemah/Tinggi)" dataDxfId="3"/>
    <tableColumn id="8" name="Peringkat" dataDxfId="2"/>
    <tableColumn id="9" name="Periode" dataDxfId="1"/>
    <tableColumn id="12" name="Period" dataDxfId="0">
      <calculatedColumnFormula>TEXT(Table2[[#This Row],[Periode]],"Mmm-YYYY")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9.emf"/><Relationship Id="rId5" Type="http://schemas.openxmlformats.org/officeDocument/2006/relationships/control" Target="../activeX/activeX8.xml"/><Relationship Id="rId10" Type="http://schemas.microsoft.com/office/2007/relationships/slicer" Target="../slicers/slicer1.xml"/><Relationship Id="rId4" Type="http://schemas.openxmlformats.org/officeDocument/2006/relationships/vmlDrawing" Target="../drawings/vmlDrawing3.v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4.emf"/><Relationship Id="rId18" Type="http://schemas.openxmlformats.org/officeDocument/2006/relationships/control" Target="../activeX/activeX15.xml"/><Relationship Id="rId3" Type="http://schemas.openxmlformats.org/officeDocument/2006/relationships/pivotTable" Target="../pivotTables/pivotTable3.xml"/><Relationship Id="rId21" Type="http://schemas.openxmlformats.org/officeDocument/2006/relationships/image" Target="../media/image18.emf"/><Relationship Id="rId7" Type="http://schemas.openxmlformats.org/officeDocument/2006/relationships/vmlDrawing" Target="../drawings/vmlDrawing4.vml"/><Relationship Id="rId12" Type="http://schemas.openxmlformats.org/officeDocument/2006/relationships/control" Target="../activeX/activeX12.xml"/><Relationship Id="rId17" Type="http://schemas.openxmlformats.org/officeDocument/2006/relationships/image" Target="../media/image16.emf"/><Relationship Id="rId2" Type="http://schemas.openxmlformats.org/officeDocument/2006/relationships/pivotTable" Target="../pivotTables/pivotTable2.xml"/><Relationship Id="rId16" Type="http://schemas.openxmlformats.org/officeDocument/2006/relationships/control" Target="../activeX/activeX14.xml"/><Relationship Id="rId20" Type="http://schemas.openxmlformats.org/officeDocument/2006/relationships/control" Target="../activeX/activeX16.xml"/><Relationship Id="rId1" Type="http://schemas.openxmlformats.org/officeDocument/2006/relationships/pivotTable" Target="../pivotTables/pivotTable1.xml"/><Relationship Id="rId6" Type="http://schemas.openxmlformats.org/officeDocument/2006/relationships/drawing" Target="../drawings/drawing3.xml"/><Relationship Id="rId11" Type="http://schemas.openxmlformats.org/officeDocument/2006/relationships/image" Target="../media/image13.emf"/><Relationship Id="rId5" Type="http://schemas.openxmlformats.org/officeDocument/2006/relationships/printerSettings" Target="../printerSettings/printerSettings3.bin"/><Relationship Id="rId15" Type="http://schemas.openxmlformats.org/officeDocument/2006/relationships/image" Target="../media/image15.emf"/><Relationship Id="rId23" Type="http://schemas.microsoft.com/office/2007/relationships/slicer" Target="../slicers/slicer2.xml"/><Relationship Id="rId10" Type="http://schemas.openxmlformats.org/officeDocument/2006/relationships/control" Target="../activeX/activeX11.xml"/><Relationship Id="rId19" Type="http://schemas.openxmlformats.org/officeDocument/2006/relationships/image" Target="../media/image17.emf"/><Relationship Id="rId4" Type="http://schemas.openxmlformats.org/officeDocument/2006/relationships/pivotTable" Target="../pivotTables/pivotTable4.xml"/><Relationship Id="rId9" Type="http://schemas.openxmlformats.org/officeDocument/2006/relationships/image" Target="../media/image12.emf"/><Relationship Id="rId14" Type="http://schemas.openxmlformats.org/officeDocument/2006/relationships/control" Target="../activeX/activeX13.xml"/><Relationship Id="rId22"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9.xml"/><Relationship Id="rId13" Type="http://schemas.openxmlformats.org/officeDocument/2006/relationships/image" Target="../media/image23.emf"/><Relationship Id="rId3" Type="http://schemas.openxmlformats.org/officeDocument/2006/relationships/vmlDrawing" Target="../drawings/vmlDrawing5.vml"/><Relationship Id="rId7" Type="http://schemas.openxmlformats.org/officeDocument/2006/relationships/image" Target="../media/image20.emf"/><Relationship Id="rId12" Type="http://schemas.openxmlformats.org/officeDocument/2006/relationships/control" Target="../activeX/activeX21.xml"/><Relationship Id="rId2" Type="http://schemas.openxmlformats.org/officeDocument/2006/relationships/drawing" Target="../drawings/drawing4.xml"/><Relationship Id="rId16" Type="http://schemas.microsoft.com/office/2007/relationships/slicer" Target="../slicers/slicer3.xml"/><Relationship Id="rId1" Type="http://schemas.openxmlformats.org/officeDocument/2006/relationships/pivotTable" Target="../pivotTables/pivotTable5.xml"/><Relationship Id="rId6" Type="http://schemas.openxmlformats.org/officeDocument/2006/relationships/control" Target="../activeX/activeX18.xml"/><Relationship Id="rId11" Type="http://schemas.openxmlformats.org/officeDocument/2006/relationships/image" Target="../media/image22.emf"/><Relationship Id="rId5" Type="http://schemas.openxmlformats.org/officeDocument/2006/relationships/image" Target="../media/image19.emf"/><Relationship Id="rId15" Type="http://schemas.openxmlformats.org/officeDocument/2006/relationships/image" Target="../media/image24.emf"/><Relationship Id="rId10" Type="http://schemas.openxmlformats.org/officeDocument/2006/relationships/control" Target="../activeX/activeX20.xml"/><Relationship Id="rId4" Type="http://schemas.openxmlformats.org/officeDocument/2006/relationships/control" Target="../activeX/activeX17.xml"/><Relationship Id="rId9" Type="http://schemas.openxmlformats.org/officeDocument/2006/relationships/image" Target="../media/image21.emf"/><Relationship Id="rId14"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9.emf"/><Relationship Id="rId3" Type="http://schemas.openxmlformats.org/officeDocument/2006/relationships/vmlDrawing" Target="../drawings/vmlDrawing6.vml"/><Relationship Id="rId7" Type="http://schemas.openxmlformats.org/officeDocument/2006/relationships/image" Target="../media/image26.emf"/><Relationship Id="rId12" Type="http://schemas.openxmlformats.org/officeDocument/2006/relationships/control" Target="../activeX/activeX27.xml"/><Relationship Id="rId2" Type="http://schemas.openxmlformats.org/officeDocument/2006/relationships/drawing" Target="../drawings/drawing5.xml"/><Relationship Id="rId16" Type="http://schemas.microsoft.com/office/2007/relationships/slicer" Target="../slicers/slicer4.xml"/><Relationship Id="rId1" Type="http://schemas.openxmlformats.org/officeDocument/2006/relationships/pivotTable" Target="../pivotTables/pivotTable6.xml"/><Relationship Id="rId6" Type="http://schemas.openxmlformats.org/officeDocument/2006/relationships/control" Target="../activeX/activeX24.xml"/><Relationship Id="rId11" Type="http://schemas.openxmlformats.org/officeDocument/2006/relationships/image" Target="../media/image28.emf"/><Relationship Id="rId5" Type="http://schemas.openxmlformats.org/officeDocument/2006/relationships/image" Target="../media/image25.emf"/><Relationship Id="rId15" Type="http://schemas.openxmlformats.org/officeDocument/2006/relationships/image" Target="../media/image30.emf"/><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27.emf"/><Relationship Id="rId14" Type="http://schemas.openxmlformats.org/officeDocument/2006/relationships/control" Target="../activeX/activeX28.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image" Target="../media/image35.emf"/><Relationship Id="rId18" Type="http://schemas.openxmlformats.org/officeDocument/2006/relationships/control" Target="../activeX/activeX36.xml"/><Relationship Id="rId3" Type="http://schemas.openxmlformats.org/officeDocument/2006/relationships/vmlDrawing" Target="../drawings/vmlDrawing7.vml"/><Relationship Id="rId21" Type="http://schemas.openxmlformats.org/officeDocument/2006/relationships/image" Target="../media/image39.emf"/><Relationship Id="rId7" Type="http://schemas.openxmlformats.org/officeDocument/2006/relationships/image" Target="../media/image32.emf"/><Relationship Id="rId12" Type="http://schemas.openxmlformats.org/officeDocument/2006/relationships/control" Target="../activeX/activeX33.xml"/><Relationship Id="rId17" Type="http://schemas.openxmlformats.org/officeDocument/2006/relationships/image" Target="../media/image37.emf"/><Relationship Id="rId2" Type="http://schemas.openxmlformats.org/officeDocument/2006/relationships/drawing" Target="../drawings/drawing6.xml"/><Relationship Id="rId16" Type="http://schemas.openxmlformats.org/officeDocument/2006/relationships/control" Target="../activeX/activeX35.xml"/><Relationship Id="rId20" Type="http://schemas.openxmlformats.org/officeDocument/2006/relationships/control" Target="../activeX/activeX37.xml"/><Relationship Id="rId1" Type="http://schemas.openxmlformats.org/officeDocument/2006/relationships/printerSettings" Target="../printerSettings/printerSettings4.bin"/><Relationship Id="rId6" Type="http://schemas.openxmlformats.org/officeDocument/2006/relationships/control" Target="../activeX/activeX30.xml"/><Relationship Id="rId11" Type="http://schemas.openxmlformats.org/officeDocument/2006/relationships/image" Target="../media/image34.emf"/><Relationship Id="rId24" Type="http://schemas.openxmlformats.org/officeDocument/2006/relationships/table" Target="../tables/table3.xml"/><Relationship Id="rId5" Type="http://schemas.openxmlformats.org/officeDocument/2006/relationships/image" Target="../media/image31.emf"/><Relationship Id="rId15" Type="http://schemas.openxmlformats.org/officeDocument/2006/relationships/image" Target="../media/image36.emf"/><Relationship Id="rId23" Type="http://schemas.openxmlformats.org/officeDocument/2006/relationships/image" Target="../media/image40.emf"/><Relationship Id="rId10" Type="http://schemas.openxmlformats.org/officeDocument/2006/relationships/control" Target="../activeX/activeX32.xml"/><Relationship Id="rId19" Type="http://schemas.openxmlformats.org/officeDocument/2006/relationships/image" Target="../media/image38.emf"/><Relationship Id="rId4" Type="http://schemas.openxmlformats.org/officeDocument/2006/relationships/control" Target="../activeX/activeX29.xml"/><Relationship Id="rId9" Type="http://schemas.openxmlformats.org/officeDocument/2006/relationships/image" Target="../media/image33.emf"/><Relationship Id="rId14" Type="http://schemas.openxmlformats.org/officeDocument/2006/relationships/control" Target="../activeX/activeX34.xml"/><Relationship Id="rId22" Type="http://schemas.openxmlformats.org/officeDocument/2006/relationships/control" Target="../activeX/activeX3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1.xml"/><Relationship Id="rId13" Type="http://schemas.openxmlformats.org/officeDocument/2006/relationships/image" Target="../media/image45.emf"/><Relationship Id="rId18" Type="http://schemas.openxmlformats.org/officeDocument/2006/relationships/control" Target="../activeX/activeX46.xml"/><Relationship Id="rId3" Type="http://schemas.openxmlformats.org/officeDocument/2006/relationships/vmlDrawing" Target="../drawings/vmlDrawing8.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3.xml"/><Relationship Id="rId17" Type="http://schemas.openxmlformats.org/officeDocument/2006/relationships/image" Target="../media/image47.emf"/><Relationship Id="rId2" Type="http://schemas.openxmlformats.org/officeDocument/2006/relationships/drawing" Target="../drawings/drawing7.xml"/><Relationship Id="rId16" Type="http://schemas.openxmlformats.org/officeDocument/2006/relationships/control" Target="../activeX/activeX45.xml"/><Relationship Id="rId20" Type="http://schemas.openxmlformats.org/officeDocument/2006/relationships/control" Target="../activeX/activeX47.xml"/><Relationship Id="rId1" Type="http://schemas.openxmlformats.org/officeDocument/2006/relationships/printerSettings" Target="../printerSettings/printerSettings5.bin"/><Relationship Id="rId6" Type="http://schemas.openxmlformats.org/officeDocument/2006/relationships/control" Target="../activeX/activeX40.xml"/><Relationship Id="rId11" Type="http://schemas.openxmlformats.org/officeDocument/2006/relationships/image" Target="../media/image44.emf"/><Relationship Id="rId24" Type="http://schemas.openxmlformats.org/officeDocument/2006/relationships/table" Target="../tables/table4.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10" Type="http://schemas.openxmlformats.org/officeDocument/2006/relationships/control" Target="../activeX/activeX42.xml"/><Relationship Id="rId19" Type="http://schemas.openxmlformats.org/officeDocument/2006/relationships/image" Target="../media/image48.emf"/><Relationship Id="rId4" Type="http://schemas.openxmlformats.org/officeDocument/2006/relationships/control" Target="../activeX/activeX39.xml"/><Relationship Id="rId9" Type="http://schemas.openxmlformats.org/officeDocument/2006/relationships/image" Target="../media/image43.emf"/><Relationship Id="rId14" Type="http://schemas.openxmlformats.org/officeDocument/2006/relationships/control" Target="../activeX/activeX44.xml"/><Relationship Id="rId22" Type="http://schemas.openxmlformats.org/officeDocument/2006/relationships/control" Target="../activeX/activeX4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51.xml"/><Relationship Id="rId13" Type="http://schemas.openxmlformats.org/officeDocument/2006/relationships/image" Target="../media/image55.emf"/><Relationship Id="rId18" Type="http://schemas.openxmlformats.org/officeDocument/2006/relationships/control" Target="../activeX/activeX56.xml"/><Relationship Id="rId3" Type="http://schemas.openxmlformats.org/officeDocument/2006/relationships/vmlDrawing" Target="../drawings/vmlDrawing9.vml"/><Relationship Id="rId21" Type="http://schemas.openxmlformats.org/officeDocument/2006/relationships/image" Target="../media/image59.emf"/><Relationship Id="rId7" Type="http://schemas.openxmlformats.org/officeDocument/2006/relationships/image" Target="../media/image52.emf"/><Relationship Id="rId12" Type="http://schemas.openxmlformats.org/officeDocument/2006/relationships/control" Target="../activeX/activeX53.xml"/><Relationship Id="rId17" Type="http://schemas.openxmlformats.org/officeDocument/2006/relationships/image" Target="../media/image57.emf"/><Relationship Id="rId2" Type="http://schemas.openxmlformats.org/officeDocument/2006/relationships/drawing" Target="../drawings/drawing8.xml"/><Relationship Id="rId16" Type="http://schemas.openxmlformats.org/officeDocument/2006/relationships/control" Target="../activeX/activeX55.xml"/><Relationship Id="rId20" Type="http://schemas.openxmlformats.org/officeDocument/2006/relationships/control" Target="../activeX/activeX57.xml"/><Relationship Id="rId1" Type="http://schemas.openxmlformats.org/officeDocument/2006/relationships/printerSettings" Target="../printerSettings/printerSettings6.bin"/><Relationship Id="rId6" Type="http://schemas.openxmlformats.org/officeDocument/2006/relationships/control" Target="../activeX/activeX50.xml"/><Relationship Id="rId11" Type="http://schemas.openxmlformats.org/officeDocument/2006/relationships/image" Target="../media/image54.emf"/><Relationship Id="rId24" Type="http://schemas.openxmlformats.org/officeDocument/2006/relationships/table" Target="../tables/table5.xml"/><Relationship Id="rId5" Type="http://schemas.openxmlformats.org/officeDocument/2006/relationships/image" Target="../media/image51.emf"/><Relationship Id="rId15" Type="http://schemas.openxmlformats.org/officeDocument/2006/relationships/image" Target="../media/image56.emf"/><Relationship Id="rId23" Type="http://schemas.openxmlformats.org/officeDocument/2006/relationships/image" Target="../media/image60.emf"/><Relationship Id="rId10" Type="http://schemas.openxmlformats.org/officeDocument/2006/relationships/control" Target="../activeX/activeX52.xml"/><Relationship Id="rId19" Type="http://schemas.openxmlformats.org/officeDocument/2006/relationships/image" Target="../media/image58.emf"/><Relationship Id="rId4" Type="http://schemas.openxmlformats.org/officeDocument/2006/relationships/control" Target="../activeX/activeX49.xml"/><Relationship Id="rId9" Type="http://schemas.openxmlformats.org/officeDocument/2006/relationships/image" Target="../media/image53.emf"/><Relationship Id="rId14" Type="http://schemas.openxmlformats.org/officeDocument/2006/relationships/control" Target="../activeX/activeX54.xml"/><Relationship Id="rId22" Type="http://schemas.openxmlformats.org/officeDocument/2006/relationships/control" Target="../activeX/activeX5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1.xml"/><Relationship Id="rId13" Type="http://schemas.openxmlformats.org/officeDocument/2006/relationships/image" Target="../media/image65.emf"/><Relationship Id="rId18" Type="http://schemas.openxmlformats.org/officeDocument/2006/relationships/control" Target="../activeX/activeX66.xml"/><Relationship Id="rId3" Type="http://schemas.openxmlformats.org/officeDocument/2006/relationships/vmlDrawing" Target="../drawings/vmlDrawing10.vml"/><Relationship Id="rId21" Type="http://schemas.openxmlformats.org/officeDocument/2006/relationships/image" Target="../media/image69.emf"/><Relationship Id="rId7" Type="http://schemas.openxmlformats.org/officeDocument/2006/relationships/image" Target="../media/image62.emf"/><Relationship Id="rId12" Type="http://schemas.openxmlformats.org/officeDocument/2006/relationships/control" Target="../activeX/activeX63.xml"/><Relationship Id="rId17" Type="http://schemas.openxmlformats.org/officeDocument/2006/relationships/image" Target="../media/image67.emf"/><Relationship Id="rId2" Type="http://schemas.openxmlformats.org/officeDocument/2006/relationships/drawing" Target="../drawings/drawing9.xml"/><Relationship Id="rId16" Type="http://schemas.openxmlformats.org/officeDocument/2006/relationships/control" Target="../activeX/activeX65.xml"/><Relationship Id="rId20" Type="http://schemas.openxmlformats.org/officeDocument/2006/relationships/control" Target="../activeX/activeX67.xml"/><Relationship Id="rId1" Type="http://schemas.openxmlformats.org/officeDocument/2006/relationships/printerSettings" Target="../printerSettings/printerSettings7.bin"/><Relationship Id="rId6" Type="http://schemas.openxmlformats.org/officeDocument/2006/relationships/control" Target="../activeX/activeX60.xml"/><Relationship Id="rId11" Type="http://schemas.openxmlformats.org/officeDocument/2006/relationships/image" Target="../media/image64.emf"/><Relationship Id="rId24" Type="http://schemas.openxmlformats.org/officeDocument/2006/relationships/table" Target="../tables/table6.xml"/><Relationship Id="rId5" Type="http://schemas.openxmlformats.org/officeDocument/2006/relationships/image" Target="../media/image61.emf"/><Relationship Id="rId15" Type="http://schemas.openxmlformats.org/officeDocument/2006/relationships/image" Target="../media/image66.emf"/><Relationship Id="rId23" Type="http://schemas.openxmlformats.org/officeDocument/2006/relationships/image" Target="../media/image70.emf"/><Relationship Id="rId10" Type="http://schemas.openxmlformats.org/officeDocument/2006/relationships/control" Target="../activeX/activeX62.xml"/><Relationship Id="rId19" Type="http://schemas.openxmlformats.org/officeDocument/2006/relationships/image" Target="../media/image68.emf"/><Relationship Id="rId4" Type="http://schemas.openxmlformats.org/officeDocument/2006/relationships/control" Target="../activeX/activeX59.xml"/><Relationship Id="rId9" Type="http://schemas.openxmlformats.org/officeDocument/2006/relationships/image" Target="../media/image63.emf"/><Relationship Id="rId14" Type="http://schemas.openxmlformats.org/officeDocument/2006/relationships/control" Target="../activeX/activeX64.xml"/><Relationship Id="rId22" Type="http://schemas.openxmlformats.org/officeDocument/2006/relationships/control" Target="../activeX/activeX68.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71.xml"/><Relationship Id="rId13" Type="http://schemas.openxmlformats.org/officeDocument/2006/relationships/image" Target="../media/image75.emf"/><Relationship Id="rId18" Type="http://schemas.openxmlformats.org/officeDocument/2006/relationships/control" Target="../activeX/activeX76.xml"/><Relationship Id="rId3" Type="http://schemas.openxmlformats.org/officeDocument/2006/relationships/vmlDrawing" Target="../drawings/vmlDrawing11.vml"/><Relationship Id="rId21" Type="http://schemas.openxmlformats.org/officeDocument/2006/relationships/image" Target="../media/image79.emf"/><Relationship Id="rId7" Type="http://schemas.openxmlformats.org/officeDocument/2006/relationships/image" Target="../media/image72.emf"/><Relationship Id="rId12" Type="http://schemas.openxmlformats.org/officeDocument/2006/relationships/control" Target="../activeX/activeX73.xml"/><Relationship Id="rId17" Type="http://schemas.openxmlformats.org/officeDocument/2006/relationships/image" Target="../media/image77.emf"/><Relationship Id="rId2" Type="http://schemas.openxmlformats.org/officeDocument/2006/relationships/drawing" Target="../drawings/drawing10.xml"/><Relationship Id="rId16" Type="http://schemas.openxmlformats.org/officeDocument/2006/relationships/control" Target="../activeX/activeX75.xml"/><Relationship Id="rId20" Type="http://schemas.openxmlformats.org/officeDocument/2006/relationships/control" Target="../activeX/activeX77.xml"/><Relationship Id="rId1" Type="http://schemas.openxmlformats.org/officeDocument/2006/relationships/printerSettings" Target="../printerSettings/printerSettings8.bin"/><Relationship Id="rId6" Type="http://schemas.openxmlformats.org/officeDocument/2006/relationships/control" Target="../activeX/activeX70.xml"/><Relationship Id="rId11" Type="http://schemas.openxmlformats.org/officeDocument/2006/relationships/image" Target="../media/image74.emf"/><Relationship Id="rId24" Type="http://schemas.openxmlformats.org/officeDocument/2006/relationships/table" Target="../tables/table7.xml"/><Relationship Id="rId5" Type="http://schemas.openxmlformats.org/officeDocument/2006/relationships/image" Target="../media/image71.emf"/><Relationship Id="rId15" Type="http://schemas.openxmlformats.org/officeDocument/2006/relationships/image" Target="../media/image76.emf"/><Relationship Id="rId23" Type="http://schemas.openxmlformats.org/officeDocument/2006/relationships/image" Target="../media/image80.emf"/><Relationship Id="rId10" Type="http://schemas.openxmlformats.org/officeDocument/2006/relationships/control" Target="../activeX/activeX72.xml"/><Relationship Id="rId19" Type="http://schemas.openxmlformats.org/officeDocument/2006/relationships/image" Target="../media/image78.emf"/><Relationship Id="rId4" Type="http://schemas.openxmlformats.org/officeDocument/2006/relationships/control" Target="../activeX/activeX69.xml"/><Relationship Id="rId9" Type="http://schemas.openxmlformats.org/officeDocument/2006/relationships/image" Target="../media/image73.emf"/><Relationship Id="rId14" Type="http://schemas.openxmlformats.org/officeDocument/2006/relationships/control" Target="../activeX/activeX74.xml"/><Relationship Id="rId22" Type="http://schemas.openxmlformats.org/officeDocument/2006/relationships/control" Target="../activeX/activeX78.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image" Target="../media/image85.emf"/><Relationship Id="rId3" Type="http://schemas.openxmlformats.org/officeDocument/2006/relationships/vmlDrawing" Target="../drawings/vmlDrawing12.vml"/><Relationship Id="rId7" Type="http://schemas.openxmlformats.org/officeDocument/2006/relationships/image" Target="../media/image82.emf"/><Relationship Id="rId12" Type="http://schemas.openxmlformats.org/officeDocument/2006/relationships/control" Target="../activeX/activeX83.xml"/><Relationship Id="rId2" Type="http://schemas.openxmlformats.org/officeDocument/2006/relationships/drawing" Target="../drawings/drawing11.xml"/><Relationship Id="rId16" Type="http://schemas.openxmlformats.org/officeDocument/2006/relationships/table" Target="../tables/table8.xml"/><Relationship Id="rId1" Type="http://schemas.openxmlformats.org/officeDocument/2006/relationships/printerSettings" Target="../printerSettings/printerSettings9.bin"/><Relationship Id="rId6" Type="http://schemas.openxmlformats.org/officeDocument/2006/relationships/control" Target="../activeX/activeX80.xml"/><Relationship Id="rId11" Type="http://schemas.openxmlformats.org/officeDocument/2006/relationships/image" Target="../media/image84.emf"/><Relationship Id="rId5" Type="http://schemas.openxmlformats.org/officeDocument/2006/relationships/image" Target="../media/image81.emf"/><Relationship Id="rId15" Type="http://schemas.openxmlformats.org/officeDocument/2006/relationships/image" Target="../media/image86.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3.emf"/><Relationship Id="rId14" Type="http://schemas.openxmlformats.org/officeDocument/2006/relationships/control" Target="../activeX/activeX8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D44"/>
  <sheetViews>
    <sheetView showGridLines="0" showRowColHeaders="0" topLeftCell="D4" zoomScale="90" zoomScaleNormal="90" workbookViewId="0">
      <selection activeCell="N16" sqref="N16"/>
    </sheetView>
  </sheetViews>
  <sheetFormatPr defaultRowHeight="15" x14ac:dyDescent="0.25"/>
  <cols>
    <col min="1" max="3" width="0" hidden="1" customWidth="1"/>
  </cols>
  <sheetData>
    <row r="1" spans="23:23" hidden="1" x14ac:dyDescent="0.25"/>
    <row r="2" spans="23:23" hidden="1" x14ac:dyDescent="0.25"/>
    <row r="3" spans="23:23" hidden="1" x14ac:dyDescent="0.25"/>
    <row r="16" spans="23:23" x14ac:dyDescent="0.25">
      <c r="W16" t="s">
        <v>580</v>
      </c>
    </row>
    <row r="21" spans="11:18" x14ac:dyDescent="0.25">
      <c r="K21" s="74" t="s">
        <v>579</v>
      </c>
      <c r="L21" s="74"/>
      <c r="M21" s="74"/>
      <c r="N21" s="74"/>
      <c r="O21" s="74"/>
      <c r="P21" s="74"/>
      <c r="Q21" s="74"/>
      <c r="R21" s="74"/>
    </row>
    <row r="22" spans="11:18" x14ac:dyDescent="0.25">
      <c r="K22" s="74"/>
      <c r="L22" s="74"/>
      <c r="M22" s="74"/>
      <c r="N22" s="74"/>
      <c r="O22" s="74"/>
      <c r="P22" s="74"/>
      <c r="Q22" s="74"/>
      <c r="R22" s="74"/>
    </row>
    <row r="23" spans="11:18" x14ac:dyDescent="0.25">
      <c r="K23" s="76" t="s">
        <v>582</v>
      </c>
      <c r="L23" s="75"/>
      <c r="M23" s="75"/>
      <c r="N23" s="75"/>
      <c r="O23" s="75"/>
      <c r="P23" s="75"/>
      <c r="Q23" s="75"/>
      <c r="R23" s="75"/>
    </row>
    <row r="24" spans="11:18" x14ac:dyDescent="0.25">
      <c r="N24" s="75"/>
      <c r="O24" s="75"/>
    </row>
    <row r="39" spans="1:30" x14ac:dyDescent="0.25">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row>
    <row r="40" spans="1:30" x14ac:dyDescent="0.25">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row>
    <row r="41" spans="1:30" x14ac:dyDescent="0.25">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row>
    <row r="42" spans="1:30" x14ac:dyDescent="0.25">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row>
    <row r="43" spans="1:30" ht="24.75" customHeight="1" x14ac:dyDescent="0.25">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row>
    <row r="44" spans="1:30" x14ac:dyDescent="0.25">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row>
  </sheetData>
  <sheetProtection password="E0C0" sheet="1" objects="1" scenarios="1"/>
  <mergeCells count="3">
    <mergeCell ref="K21:R22"/>
    <mergeCell ref="N24:O24"/>
    <mergeCell ref="K23:R23"/>
  </mergeCells>
  <pageMargins left="0.7" right="0.7" top="0.75" bottom="0.75" header="0.3" footer="0.3"/>
  <pageSetup paperSize="9" orientation="portrait" horizontalDpi="4294967292" verticalDpi="0" r:id="rId1"/>
  <drawing r:id="rId2"/>
  <legacyDrawing r:id="rId3"/>
  <controls>
    <mc:AlternateContent xmlns:mc="http://schemas.openxmlformats.org/markup-compatibility/2006">
      <mc:Choice Requires="x14">
        <control shapeId="24590" r:id="rId4" name="menu_risiko_komposit">
          <controlPr defaultSize="0" autoLine="0" r:id="rId5">
            <anchor moveWithCells="1">
              <from>
                <xdr:col>20</xdr:col>
                <xdr:colOff>133350</xdr:colOff>
                <xdr:row>27</xdr:row>
                <xdr:rowOff>19050</xdr:rowOff>
              </from>
              <to>
                <xdr:col>22</xdr:col>
                <xdr:colOff>523875</xdr:colOff>
                <xdr:row>29</xdr:row>
                <xdr:rowOff>66675</xdr:rowOff>
              </to>
            </anchor>
          </controlPr>
        </control>
      </mc:Choice>
      <mc:Fallback>
        <control shapeId="24590" r:id="rId4" name="menu_risiko_komposit"/>
      </mc:Fallback>
    </mc:AlternateContent>
    <mc:AlternateContent xmlns:mc="http://schemas.openxmlformats.org/markup-compatibility/2006">
      <mc:Choice Requires="x14">
        <control shapeId="24589" r:id="rId6" name="menu_risiko_kepatuhan">
          <controlPr defaultSize="0" autoLine="0" r:id="rId7">
            <anchor moveWithCells="1">
              <from>
                <xdr:col>14</xdr:col>
                <xdr:colOff>76200</xdr:colOff>
                <xdr:row>27</xdr:row>
                <xdr:rowOff>19050</xdr:rowOff>
              </from>
              <to>
                <xdr:col>16</xdr:col>
                <xdr:colOff>466725</xdr:colOff>
                <xdr:row>29</xdr:row>
                <xdr:rowOff>66675</xdr:rowOff>
              </to>
            </anchor>
          </controlPr>
        </control>
      </mc:Choice>
      <mc:Fallback>
        <control shapeId="24589" r:id="rId6" name="menu_risiko_kepatuhan"/>
      </mc:Fallback>
    </mc:AlternateContent>
    <mc:AlternateContent xmlns:mc="http://schemas.openxmlformats.org/markup-compatibility/2006">
      <mc:Choice Requires="x14">
        <control shapeId="24588" r:id="rId8" name="menu_risiko_reputasi">
          <controlPr defaultSize="0" autoLine="0" r:id="rId9">
            <anchor moveWithCells="1">
              <from>
                <xdr:col>17</xdr:col>
                <xdr:colOff>85725</xdr:colOff>
                <xdr:row>27</xdr:row>
                <xdr:rowOff>19050</xdr:rowOff>
              </from>
              <to>
                <xdr:col>19</xdr:col>
                <xdr:colOff>476250</xdr:colOff>
                <xdr:row>29</xdr:row>
                <xdr:rowOff>66675</xdr:rowOff>
              </to>
            </anchor>
          </controlPr>
        </control>
      </mc:Choice>
      <mc:Fallback>
        <control shapeId="24588" r:id="rId8" name="menu_risiko_reputasi"/>
      </mc:Fallback>
    </mc:AlternateContent>
    <mc:AlternateContent xmlns:mc="http://schemas.openxmlformats.org/markup-compatibility/2006">
      <mc:Choice Requires="x14">
        <control shapeId="24587" r:id="rId10" name="menu_risiko_hukum">
          <controlPr defaultSize="0" autoLine="0" r:id="rId11">
            <anchor moveWithCells="1">
              <from>
                <xdr:col>11</xdr:col>
                <xdr:colOff>66675</xdr:colOff>
                <xdr:row>27</xdr:row>
                <xdr:rowOff>19050</xdr:rowOff>
              </from>
              <to>
                <xdr:col>13</xdr:col>
                <xdr:colOff>457200</xdr:colOff>
                <xdr:row>29</xdr:row>
                <xdr:rowOff>66675</xdr:rowOff>
              </to>
            </anchor>
          </controlPr>
        </control>
      </mc:Choice>
      <mc:Fallback>
        <control shapeId="24587" r:id="rId10" name="menu_risiko_hukum"/>
      </mc:Fallback>
    </mc:AlternateContent>
    <mc:AlternateContent xmlns:mc="http://schemas.openxmlformats.org/markup-compatibility/2006">
      <mc:Choice Requires="x14">
        <control shapeId="24586" r:id="rId12" name="menu_risiko_operasional">
          <controlPr defaultSize="0" autoLine="0" r:id="rId13">
            <anchor moveWithCells="1">
              <from>
                <xdr:col>8</xdr:col>
                <xdr:colOff>76200</xdr:colOff>
                <xdr:row>27</xdr:row>
                <xdr:rowOff>19050</xdr:rowOff>
              </from>
              <to>
                <xdr:col>10</xdr:col>
                <xdr:colOff>466725</xdr:colOff>
                <xdr:row>29</xdr:row>
                <xdr:rowOff>66675</xdr:rowOff>
              </to>
            </anchor>
          </controlPr>
        </control>
      </mc:Choice>
      <mc:Fallback>
        <control shapeId="24586" r:id="rId12" name="menu_risiko_operasional"/>
      </mc:Fallback>
    </mc:AlternateContent>
    <mc:AlternateContent xmlns:mc="http://schemas.openxmlformats.org/markup-compatibility/2006">
      <mc:Choice Requires="x14">
        <control shapeId="24584" r:id="rId14" name="menu_risiko_strategis">
          <controlPr defaultSize="0" autoLine="0" r:id="rId15">
            <anchor moveWithCells="1">
              <from>
                <xdr:col>5</xdr:col>
                <xdr:colOff>85725</xdr:colOff>
                <xdr:row>27</xdr:row>
                <xdr:rowOff>19050</xdr:rowOff>
              </from>
              <to>
                <xdr:col>7</xdr:col>
                <xdr:colOff>476250</xdr:colOff>
                <xdr:row>29</xdr:row>
                <xdr:rowOff>66675</xdr:rowOff>
              </to>
            </anchor>
          </controlPr>
        </control>
      </mc:Choice>
      <mc:Fallback>
        <control shapeId="24584" r:id="rId14" name="menu_risiko_strategis"/>
      </mc:Fallback>
    </mc:AlternateContent>
    <mc:AlternateContent xmlns:mc="http://schemas.openxmlformats.org/markup-compatibility/2006">
      <mc:Choice Requires="x14">
        <control shapeId="24591" r:id="rId16" name="tab_database">
          <controlPr defaultSize="0" autoLine="0" r:id="rId17">
            <anchor moveWithCells="1">
              <from>
                <xdr:col>21</xdr:col>
                <xdr:colOff>295275</xdr:colOff>
                <xdr:row>4</xdr:row>
                <xdr:rowOff>0</xdr:rowOff>
              </from>
              <to>
                <xdr:col>22</xdr:col>
                <xdr:colOff>523875</xdr:colOff>
                <xdr:row>5</xdr:row>
                <xdr:rowOff>85725</xdr:rowOff>
              </to>
            </anchor>
          </controlPr>
        </control>
      </mc:Choice>
      <mc:Fallback>
        <control shapeId="24591" r:id="rId16" name="tab_databas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76"/>
  <sheetViews>
    <sheetView showGridLines="0" tabSelected="1" zoomScaleNormal="100" workbookViewId="0">
      <selection activeCell="H9" sqref="H9"/>
    </sheetView>
  </sheetViews>
  <sheetFormatPr defaultRowHeight="15" x14ac:dyDescent="0.25"/>
  <cols>
    <col min="1" max="1" width="3.28515625" customWidth="1"/>
    <col min="2" max="2" width="3" customWidth="1"/>
    <col min="3" max="3" width="20.28515625" customWidth="1"/>
    <col min="4" max="4" width="13.7109375" customWidth="1"/>
    <col min="5" max="5" width="13.140625" customWidth="1"/>
    <col min="6" max="6" width="13.5703125" customWidth="1"/>
    <col min="7" max="7" width="15.42578125" customWidth="1"/>
    <col min="8" max="8" width="3" customWidth="1"/>
  </cols>
  <sheetData>
    <row r="1" spans="1:8" ht="22.5" customHeight="1" x14ac:dyDescent="0.25">
      <c r="A1" s="62" t="s">
        <v>591</v>
      </c>
      <c r="B1" s="62" t="s">
        <v>590</v>
      </c>
      <c r="C1" s="48"/>
    </row>
    <row r="2" spans="1:8" x14ac:dyDescent="0.25">
      <c r="B2" t="s">
        <v>563</v>
      </c>
      <c r="D2" t="s">
        <v>566</v>
      </c>
    </row>
    <row r="3" spans="1:8" ht="43.5" customHeight="1" x14ac:dyDescent="0.25">
      <c r="B3" s="51" t="s">
        <v>564</v>
      </c>
      <c r="C3" s="51"/>
      <c r="D3" s="81" t="s">
        <v>592</v>
      </c>
      <c r="E3" s="81"/>
      <c r="F3" s="81"/>
      <c r="G3" s="81"/>
      <c r="H3" s="81"/>
    </row>
    <row r="4" spans="1:8" x14ac:dyDescent="0.25">
      <c r="B4" t="s">
        <v>565</v>
      </c>
      <c r="D4" t="s">
        <v>577</v>
      </c>
    </row>
    <row r="5" spans="1:8" x14ac:dyDescent="0.25">
      <c r="B5" t="s">
        <v>13</v>
      </c>
      <c r="D5" t="s">
        <v>578</v>
      </c>
    </row>
    <row r="7" spans="1:8" ht="15.75" x14ac:dyDescent="0.25">
      <c r="A7" s="42" t="s">
        <v>583</v>
      </c>
      <c r="B7" s="42" t="s">
        <v>584</v>
      </c>
    </row>
    <row r="8" spans="1:8" ht="17.25" customHeight="1" x14ac:dyDescent="0.25">
      <c r="A8" s="12"/>
      <c r="B8" s="12"/>
    </row>
    <row r="9" spans="1:8" ht="36" customHeight="1" x14ac:dyDescent="0.25">
      <c r="C9" s="58" t="s">
        <v>555</v>
      </c>
      <c r="D9" s="59" t="s">
        <v>1</v>
      </c>
      <c r="E9" s="58" t="s">
        <v>2</v>
      </c>
      <c r="F9" s="59" t="s">
        <v>18</v>
      </c>
    </row>
    <row r="10" spans="1:8" ht="21" customHeight="1" x14ac:dyDescent="0.25">
      <c r="C10" s="54" t="s">
        <v>15</v>
      </c>
      <c r="D10" s="60">
        <f>IFERROR(ROUND('Risiko Komposit'!B7,0),"Tidak tersedia")</f>
        <v>5</v>
      </c>
      <c r="E10" s="60">
        <f>IFERROR(ROUND('Risiko Komposit'!C7,0),"Tidak tersedia")</f>
        <v>5</v>
      </c>
      <c r="F10" s="60">
        <f>IFERROR(ROUND('Risiko Komposit'!E7,0),"Tidak tersedia")</f>
        <v>5</v>
      </c>
    </row>
    <row r="11" spans="1:8" ht="21" customHeight="1" x14ac:dyDescent="0.25">
      <c r="C11" s="54" t="s">
        <v>139</v>
      </c>
      <c r="D11" s="60" t="str">
        <f>IFERROR(ROUND('Risiko Komposit'!B8,0),"Tidak tersedia")</f>
        <v>Tidak tersedia</v>
      </c>
      <c r="E11" s="60">
        <f>IFERROR(ROUND('Risiko Komposit'!C8,0),"Tidak tersedia")</f>
        <v>3</v>
      </c>
      <c r="F11" s="60" t="str">
        <f>IFERROR(ROUND('Risiko Komposit'!E8,0),"Tidak tersedia")</f>
        <v>Tidak tersedia</v>
      </c>
    </row>
    <row r="12" spans="1:8" ht="21" customHeight="1" x14ac:dyDescent="0.25">
      <c r="C12" s="54" t="s">
        <v>295</v>
      </c>
      <c r="D12" s="60" t="str">
        <f>IFERROR(ROUND('Risiko Komposit'!B9,0),"Tidak tersedia")</f>
        <v>Tidak tersedia</v>
      </c>
      <c r="E12" s="60" t="str">
        <f>IFERROR(ROUND('Risiko Komposit'!C9,0),"Tidak tersedia")</f>
        <v>Tidak tersedia</v>
      </c>
      <c r="F12" s="60" t="str">
        <f>IFERROR(ROUND('Risiko Komposit'!E9,0),"Tidak tersedia")</f>
        <v>Tidak tersedia</v>
      </c>
    </row>
    <row r="13" spans="1:8" ht="21" customHeight="1" x14ac:dyDescent="0.25">
      <c r="C13" s="54" t="s">
        <v>296</v>
      </c>
      <c r="D13" s="60">
        <f>IFERROR(ROUND('Risiko Komposit'!B10,0),"Tidak tersedia")</f>
        <v>2</v>
      </c>
      <c r="E13" s="60">
        <f>IFERROR(ROUND('Risiko Komposit'!C10,0),"Tidak tersedia")</f>
        <v>3</v>
      </c>
      <c r="F13" s="60">
        <f>IFERROR(ROUND('Risiko Komposit'!E10,0),"Tidak tersedia")</f>
        <v>2</v>
      </c>
    </row>
    <row r="14" spans="1:8" ht="21" customHeight="1" x14ac:dyDescent="0.25">
      <c r="C14" s="54" t="s">
        <v>297</v>
      </c>
      <c r="D14" s="60">
        <f>IFERROR(ROUND('Risiko Komposit'!B11,0),"Tidak tersedia")</f>
        <v>2</v>
      </c>
      <c r="E14" s="60">
        <f>IFERROR(ROUND('Risiko Komposit'!C11,0),"Tidak tersedia")</f>
        <v>0</v>
      </c>
      <c r="F14" s="60" t="str">
        <f>IFERROR(ROUND('Risiko Komposit'!E11,0),"Tidak tersedia")</f>
        <v>Tidak tersedia</v>
      </c>
    </row>
    <row r="15" spans="1:8" ht="21" customHeight="1" x14ac:dyDescent="0.25">
      <c r="C15" s="54" t="s">
        <v>370</v>
      </c>
      <c r="D15" s="63"/>
      <c r="E15" s="63"/>
      <c r="F15" s="60" t="str">
        <f>IFERROR(ROUND('Risiko Komposit'!E12,0),"Tidak tersedia")</f>
        <v>Tidak tersedia</v>
      </c>
    </row>
    <row r="16" spans="1:8" ht="21" customHeight="1" x14ac:dyDescent="0.25"/>
    <row r="17" spans="1:4" ht="15.75" x14ac:dyDescent="0.25">
      <c r="A17" s="42" t="s">
        <v>589</v>
      </c>
      <c r="B17" s="42" t="s">
        <v>588</v>
      </c>
    </row>
    <row r="18" spans="1:4" ht="9.75" customHeight="1" x14ac:dyDescent="0.25"/>
    <row r="19" spans="1:4" x14ac:dyDescent="0.25">
      <c r="B19" t="s">
        <v>567</v>
      </c>
    </row>
    <row r="20" spans="1:4" x14ac:dyDescent="0.25">
      <c r="C20" t="s">
        <v>371</v>
      </c>
      <c r="D20" t="str">
        <f>IFERROR(": "&amp;(ROUND('Risiko Komposit'!$B$7,0))&amp;" "&amp;(IF(ROUND('Risiko Komposit'!$B$7,0)=1,"(Rendah)",(IF(ROUND('Risiko Komposit'!$B$7,0)=2,"(Sedang Rendah)",(IF(ROUND('Risiko Komposit'!$B$7,0)=3,"(Sedang)",IF(ROUND('Risiko Komposit'!$B$7,0)=4,"(Sedang Tinggi)",IF(ROUND('Risiko Komposit'!$B$7,0)=5,"(Tinggi)","")))))))),"Tidak tersedia (data belum lengkap)")</f>
        <v>: 5 (Tinggi)</v>
      </c>
    </row>
    <row r="21" spans="1:4" x14ac:dyDescent="0.25">
      <c r="C21" t="s">
        <v>372</v>
      </c>
      <c r="D21" t="str">
        <f>IFERROR(": "&amp;(ROUND('Risiko Komposit'!$C$7,0))&amp;" "&amp;(IF(ROUND('Risiko Komposit'!$C$7,0)=1,"(Kuat)",(IF(ROUND('Risiko Komposit'!$C$7,0)=2,"(Agak Kuat)",(IF(ROUND('Risiko Komposit'!$C$7,0)=3,"(Cukup)",IF(ROUND('Risiko Komposit'!$C$7,0)=4,"(Agak Lemah)",IF(ROUND('Risiko Komposit'!$C$7,0)=5,"(Lemah)","")))))))),"Tidak tersedia (data belum lengkap)")</f>
        <v>: 5 (Lemah)</v>
      </c>
    </row>
    <row r="22" spans="1:4" ht="9.75" customHeight="1" x14ac:dyDescent="0.25"/>
    <row r="23" spans="1:4" x14ac:dyDescent="0.25">
      <c r="B23" t="s">
        <v>568</v>
      </c>
    </row>
    <row r="24" spans="1:4" x14ac:dyDescent="0.25">
      <c r="C24" t="s">
        <v>371</v>
      </c>
      <c r="D24" t="str">
        <f>IFERROR(": "&amp;(ROUND('Risiko Komposit'!$B$8,0))&amp;" "&amp;(IF(ROUND('Risiko Komposit'!$B$8,0)=1,"(Rendah)",(IF(ROUND('Risiko Komposit'!$B$8,0)=2,"(Sedang Rendah)",(IF(ROUND('Risiko Komposit'!$B$8,0)=3,"(Sedang)",IF(ROUND('Risiko Komposit'!$B$8,0)=4,"(Sedang Tinggi)",IF(ROUND('Risiko Komposit'!$B$8,0)=5,"(Tinggi)","")))))))),"Tidak tersedia (data belum lengkap)")</f>
        <v>Tidak tersedia (data belum lengkap)</v>
      </c>
    </row>
    <row r="25" spans="1:4" x14ac:dyDescent="0.25">
      <c r="C25" t="s">
        <v>372</v>
      </c>
      <c r="D25" t="str">
        <f>IFERROR(": "&amp;(ROUND('Risiko Komposit'!$C$8,0))&amp;" "&amp;(IF(ROUND('Risiko Komposit'!$C$8,0)=1,"(Kuat)",(IF(ROUND('Risiko Komposit'!$C$8,0)=2,"(Agak Kuat)",(IF(ROUND('Risiko Komposit'!$C$8,0)=3,"(Cukup)",IF(ROUND('Risiko Komposit'!$C$8,0)=4,"(Agak Lemah)",IF(ROUND('Risiko Komposit'!$C$8,0)=5,"(Lemah)","")))))))),"Tidak tersedia (data belum lengkap)")</f>
        <v>: 3 (Cukup)</v>
      </c>
    </row>
    <row r="26" spans="1:4" ht="9.75" customHeight="1" x14ac:dyDescent="0.25"/>
    <row r="27" spans="1:4" x14ac:dyDescent="0.25">
      <c r="B27" t="s">
        <v>569</v>
      </c>
    </row>
    <row r="28" spans="1:4" x14ac:dyDescent="0.25">
      <c r="C28" t="s">
        <v>371</v>
      </c>
      <c r="D28" t="str">
        <f>IFERROR(": "&amp;(ROUND('Risiko Komposit'!$B$9,0))&amp;" "&amp;(IF(ROUND('Risiko Komposit'!$B$9,0)=1,"(Rendah)",(IF(ROUND('Risiko Komposit'!$B$9,0)=2,"(Sedang Rendah)",(IF(ROUND('Risiko Komposit'!$B$9,0)=3,"(Sedang)",IF(ROUND('Risiko Komposit'!$B$9,0)=4,"(Sedang Tinggi)",IF(ROUND('Risiko Komposit'!$B$9,0)=5,"(Tinggi)","")))))))),"Tidak tersedia (data belum lengkap)")</f>
        <v>Tidak tersedia (data belum lengkap)</v>
      </c>
    </row>
    <row r="29" spans="1:4" x14ac:dyDescent="0.25">
      <c r="C29" t="s">
        <v>372</v>
      </c>
      <c r="D29" t="str">
        <f>IFERROR(": "&amp;(ROUND('Risiko Komposit'!$C$9,0))&amp;" "&amp;(IF(ROUND('Risiko Komposit'!$C$9,0)=1,"(Kuat)",(IF(ROUND('Risiko Komposit'!$C$9,0)=2,"(Agak Kuat)",(IF(ROUND('Risiko Komposit'!$C$9,0)=3,"(Cukup)",IF(ROUND('Risiko Komposit'!$C$9,0)=4,"(Agak Lemah)",IF(ROUND('Risiko Komposit'!$C$9,0)=5,"(Lemah)","")))))))),"Tidak tersedia (data belum lengkap)")</f>
        <v>Tidak tersedia (data belum lengkap)</v>
      </c>
    </row>
    <row r="30" spans="1:4" ht="9.75" customHeight="1" x14ac:dyDescent="0.25"/>
    <row r="31" spans="1:4" x14ac:dyDescent="0.25">
      <c r="B31" t="s">
        <v>570</v>
      </c>
    </row>
    <row r="32" spans="1:4" x14ac:dyDescent="0.25">
      <c r="C32" t="s">
        <v>371</v>
      </c>
      <c r="D32" t="str">
        <f>IFERROR(": "&amp;(ROUND('Risiko Komposit'!$B$10,0))&amp;" "&amp;(IF(ROUND('Risiko Komposit'!$B$10,0)=1,"(Rendah)",(IF(ROUND('Risiko Komposit'!$B$10,0)=2,"(Sedang Rendah)",(IF(ROUND('Risiko Komposit'!$B$10,0)=3,"(Sedang)",IF(ROUND('Risiko Komposit'!$B$10,0)=4,"(Sedang Tinggi)",IF(ROUND('Risiko Komposit'!$B$10,0)=5,"(Tinggi)","")))))))),"Tidak tersedia (data belum lengkap)")</f>
        <v>: 2 (Sedang Rendah)</v>
      </c>
    </row>
    <row r="33" spans="2:9" x14ac:dyDescent="0.25">
      <c r="C33" t="s">
        <v>372</v>
      </c>
      <c r="D33" t="str">
        <f>IFERROR(": "&amp;(ROUND('Risiko Komposit'!$C$10,0))&amp;" "&amp;(IF(ROUND('Risiko Komposit'!$C$10,0)=1,"(Kuat)",(IF(ROUND('Risiko Komposit'!$C$10,0)=2,"(Agak Kuat)",(IF(ROUND('Risiko Komposit'!$C$10,0)=3,"(Cukup)",IF(ROUND('Risiko Komposit'!$C$10,0)=4,"(Agak Lemah)",IF(ROUND('Risiko Komposit'!$C$10,0)=5,"(Lemah)","")))))))),"Tidak tersedia (data belum lengkap)")</f>
        <v>: 3 (Cukup)</v>
      </c>
    </row>
    <row r="34" spans="2:9" ht="9.75" customHeight="1" x14ac:dyDescent="0.25"/>
    <row r="35" spans="2:9" x14ac:dyDescent="0.25">
      <c r="B35" t="s">
        <v>571</v>
      </c>
    </row>
    <row r="36" spans="2:9" x14ac:dyDescent="0.25">
      <c r="C36" t="s">
        <v>371</v>
      </c>
      <c r="D36" t="str">
        <f>IFERROR(": "&amp;(ROUND('Risiko Komposit'!$B$11,0))&amp;" "&amp;(IF(ROUND('Risiko Komposit'!$B$11,0)=1,"(Rendah)",(IF(ROUND('Risiko Komposit'!$B$11,0)=2,"(Sedang Rendah)",(IF(ROUND('Risiko Komposit'!$B$11,0)=3,"(Sedang)",IF(ROUND('Risiko Komposit'!$B$11,0)=4,"(Sedang Tinggi)",IF(ROUND('Risiko Komposit'!$B$11,0)=5,"(Tinggi)","")))))))),"Tidak tersedia (data belum lengkap)")</f>
        <v>: 2 (Sedang Rendah)</v>
      </c>
    </row>
    <row r="37" spans="2:9" x14ac:dyDescent="0.25">
      <c r="C37" t="s">
        <v>372</v>
      </c>
      <c r="D37" t="str">
        <f>IFERROR(": "&amp;(ROUND('Risiko Komposit'!$C$11,0))&amp;" "&amp;(IF(ROUND('Risiko Komposit'!$C$11,0)=1,"(Kuat)",(IF(ROUND('Risiko Komposit'!$C$11,0)=2,"(Agak Kuat)",(IF(ROUND('Risiko Komposit'!$C$11,0)=3,"(Cukup)",IF(ROUND('Risiko Komposit'!$C$11,0)=4,"(Agak Lemah)",IF(ROUND('Risiko Komposit'!$C$11,0)=5,"(Lemah)","")))))))),"Tidak tersedia (data belum lengkap)")</f>
        <v xml:space="preserve">: 0 </v>
      </c>
    </row>
    <row r="38" spans="2:9" ht="9.75" customHeight="1" x14ac:dyDescent="0.25"/>
    <row r="39" spans="2:9" ht="9.75" customHeight="1" x14ac:dyDescent="0.25"/>
    <row r="40" spans="2:9" ht="9.75" customHeight="1" x14ac:dyDescent="0.25"/>
    <row r="41" spans="2:9" ht="9.75" customHeight="1" x14ac:dyDescent="0.25"/>
    <row r="42" spans="2:9" ht="9.75" customHeight="1" x14ac:dyDescent="0.25"/>
    <row r="43" spans="2:9" ht="9.75" customHeight="1" x14ac:dyDescent="0.25"/>
    <row r="44" spans="2:9" x14ac:dyDescent="0.25">
      <c r="B44" t="s">
        <v>572</v>
      </c>
    </row>
    <row r="45" spans="2:9" ht="9.75" customHeight="1" x14ac:dyDescent="0.25">
      <c r="H45" s="6"/>
    </row>
    <row r="46" spans="2:9" x14ac:dyDescent="0.25">
      <c r="B46" s="82" t="s">
        <v>573</v>
      </c>
      <c r="C46" s="83"/>
      <c r="D46" s="83"/>
      <c r="E46" s="83"/>
      <c r="F46" s="83"/>
      <c r="G46" s="83"/>
      <c r="H46" s="56"/>
      <c r="I46" s="6"/>
    </row>
    <row r="47" spans="2:9" x14ac:dyDescent="0.25">
      <c r="B47" s="43" t="s">
        <v>574</v>
      </c>
      <c r="C47" s="6"/>
      <c r="D47" s="6"/>
      <c r="E47" s="6"/>
      <c r="F47" s="6"/>
      <c r="G47" s="6"/>
      <c r="H47" s="44"/>
      <c r="I47" s="6"/>
    </row>
    <row r="48" spans="2:9" x14ac:dyDescent="0.25">
      <c r="B48" s="43"/>
      <c r="C48" s="6" t="str">
        <f>"Peringkat "&amp;IF(ISNUMBER('Risiko Komposit'!$E$12),'Risiko Komposit'!$E$12&amp;IF('Risiko Komposit'!$E$12=1," (Rendah)",(IF('Risiko Komposit'!$E$12=2," (Sedang Rendah)",(IF('Risiko Komposit'!$E$12=3," (Sedang)",(IF('Risiko Komposit'!$E$12=4," (Sedang Tinggi)",(IF('Risiko Komposit'!$E$12=5," (Tinggi)",""))))))))),"tidak tersedia (data belum lengkap)")</f>
        <v>Peringkat tidak tersedia (data belum lengkap)</v>
      </c>
      <c r="D48" s="6"/>
      <c r="E48" s="6"/>
      <c r="F48" s="6"/>
      <c r="G48" s="6"/>
      <c r="H48" s="44"/>
      <c r="I48" s="6"/>
    </row>
    <row r="49" spans="2:9" x14ac:dyDescent="0.25">
      <c r="B49" s="43"/>
      <c r="C49" s="6"/>
      <c r="D49" s="6"/>
      <c r="E49" s="6"/>
      <c r="F49" s="6"/>
      <c r="G49" s="6"/>
      <c r="H49" s="44"/>
      <c r="I49" s="6"/>
    </row>
    <row r="50" spans="2:9" x14ac:dyDescent="0.25">
      <c r="B50" s="43" t="s">
        <v>575</v>
      </c>
      <c r="C50" s="6"/>
      <c r="D50" s="6"/>
      <c r="E50" s="6"/>
      <c r="F50" s="6"/>
      <c r="G50" s="6"/>
      <c r="H50" s="44"/>
      <c r="I50" s="6"/>
    </row>
    <row r="51" spans="2:9" ht="15" customHeight="1" x14ac:dyDescent="0.25">
      <c r="B51" s="43"/>
      <c r="C51" s="84" t="str">
        <f>IFERROR(VLOOKUP('Risiko Komposit'!$A$12&amp;'Risiko Komposit'!$E$12,Index!D:F,3,0),"Tidak tersedia (data belum lengkap)")</f>
        <v>Tidak tersedia (data belum lengkap)</v>
      </c>
      <c r="D51" s="84"/>
      <c r="E51" s="84"/>
      <c r="F51" s="84"/>
      <c r="G51" s="84"/>
      <c r="H51" s="55"/>
      <c r="I51" s="6"/>
    </row>
    <row r="52" spans="2:9" x14ac:dyDescent="0.25">
      <c r="B52" s="43"/>
      <c r="C52" s="84"/>
      <c r="D52" s="84"/>
      <c r="E52" s="84"/>
      <c r="F52" s="84"/>
      <c r="G52" s="84"/>
      <c r="H52" s="55"/>
      <c r="I52" s="6"/>
    </row>
    <row r="53" spans="2:9" x14ac:dyDescent="0.25">
      <c r="B53" s="43"/>
      <c r="C53" s="84"/>
      <c r="D53" s="84"/>
      <c r="E53" s="84"/>
      <c r="F53" s="84"/>
      <c r="G53" s="84"/>
      <c r="H53" s="55"/>
      <c r="I53" s="6"/>
    </row>
    <row r="54" spans="2:9" x14ac:dyDescent="0.25">
      <c r="B54" s="43"/>
      <c r="C54" s="84"/>
      <c r="D54" s="84"/>
      <c r="E54" s="84"/>
      <c r="F54" s="84"/>
      <c r="G54" s="84"/>
      <c r="H54" s="55"/>
      <c r="I54" s="6"/>
    </row>
    <row r="55" spans="2:9" x14ac:dyDescent="0.25">
      <c r="B55" s="43"/>
      <c r="C55" s="84"/>
      <c r="D55" s="84"/>
      <c r="E55" s="84"/>
      <c r="F55" s="84"/>
      <c r="G55" s="84"/>
      <c r="H55" s="55"/>
      <c r="I55" s="6"/>
    </row>
    <row r="56" spans="2:9" x14ac:dyDescent="0.25">
      <c r="B56" s="43"/>
      <c r="C56" s="84"/>
      <c r="D56" s="84"/>
      <c r="E56" s="84"/>
      <c r="F56" s="84"/>
      <c r="G56" s="84"/>
      <c r="H56" s="55"/>
      <c r="I56" s="6"/>
    </row>
    <row r="57" spans="2:9" x14ac:dyDescent="0.25">
      <c r="B57" s="43"/>
      <c r="C57" s="84"/>
      <c r="D57" s="84"/>
      <c r="E57" s="84"/>
      <c r="F57" s="84"/>
      <c r="G57" s="84"/>
      <c r="H57" s="55"/>
      <c r="I57" s="6"/>
    </row>
    <row r="58" spans="2:9" x14ac:dyDescent="0.25">
      <c r="B58" s="45"/>
      <c r="C58" s="46"/>
      <c r="D58" s="46"/>
      <c r="E58" s="46"/>
      <c r="F58" s="46"/>
      <c r="G58" s="46"/>
      <c r="H58" s="55"/>
      <c r="I58" s="6"/>
    </row>
    <row r="59" spans="2:9" x14ac:dyDescent="0.25">
      <c r="H59" s="57"/>
      <c r="I59" s="6"/>
    </row>
    <row r="66" spans="3:7" x14ac:dyDescent="0.25">
      <c r="D66" s="79">
        <f ca="1">TODAY()</f>
        <v>44622</v>
      </c>
      <c r="E66" s="79"/>
    </row>
    <row r="67" spans="3:7" x14ac:dyDescent="0.25">
      <c r="D67" s="77" t="s">
        <v>585</v>
      </c>
      <c r="E67" s="77"/>
    </row>
    <row r="74" spans="3:7" x14ac:dyDescent="0.25">
      <c r="C74" s="66"/>
      <c r="F74" s="66"/>
    </row>
    <row r="75" spans="3:7" x14ac:dyDescent="0.25">
      <c r="C75" s="67"/>
      <c r="F75" s="80"/>
      <c r="G75" s="80"/>
    </row>
    <row r="76" spans="3:7" x14ac:dyDescent="0.25">
      <c r="C76" s="61" t="s">
        <v>586</v>
      </c>
      <c r="F76" s="78" t="s">
        <v>587</v>
      </c>
      <c r="G76" s="78"/>
    </row>
  </sheetData>
  <sheetProtection password="E0C0" sheet="1" scenarios="1" sort="0" pivotTables="0"/>
  <mergeCells count="7">
    <mergeCell ref="D67:E67"/>
    <mergeCell ref="F76:G76"/>
    <mergeCell ref="D66:E66"/>
    <mergeCell ref="F75:G75"/>
    <mergeCell ref="D3:H3"/>
    <mergeCell ref="B46:G46"/>
    <mergeCell ref="C51:G57"/>
  </mergeCells>
  <conditionalFormatting sqref="F11:F15">
    <cfRule type="cellIs" dxfId="143" priority="6" operator="between">
      <formula>5</formula>
      <formula>4.000000000001</formula>
    </cfRule>
    <cfRule type="cellIs" dxfId="142" priority="7" operator="between">
      <formula>4</formula>
      <formula>3.000000001</formula>
    </cfRule>
    <cfRule type="cellIs" dxfId="141" priority="8" operator="between">
      <formula>3</formula>
      <formula>2.000000001</formula>
    </cfRule>
    <cfRule type="cellIs" dxfId="140" priority="9" operator="between">
      <formula>2</formula>
      <formula>1.00000001</formula>
    </cfRule>
    <cfRule type="cellIs" dxfId="139" priority="10" operator="between">
      <formula>1</formula>
      <formula>0.000000000001</formula>
    </cfRule>
  </conditionalFormatting>
  <conditionalFormatting sqref="F10:F15">
    <cfRule type="cellIs" dxfId="138" priority="1" operator="between">
      <formula>5</formula>
      <formula>4.000000000001</formula>
    </cfRule>
    <cfRule type="cellIs" dxfId="137" priority="2" operator="between">
      <formula>4</formula>
      <formula>3.000000001</formula>
    </cfRule>
    <cfRule type="cellIs" dxfId="136" priority="3" operator="between">
      <formula>3</formula>
      <formula>2.000000001</formula>
    </cfRule>
    <cfRule type="cellIs" dxfId="135" priority="4" operator="between">
      <formula>2</formula>
      <formula>1.00000001</formula>
    </cfRule>
    <cfRule type="cellIs" dxfId="134" priority="5" operator="between">
      <formula>1</formula>
      <formula>0.000000000001</formula>
    </cfRule>
  </conditionalFormatting>
  <pageMargins left="0.70866141732283472" right="0.70866141732283472" top="1.5748031496062993" bottom="0.74803149606299213" header="0.31496062992125984" footer="0.31496062992125984"/>
  <pageSetup paperSize="9" orientation="portrait" horizontalDpi="4294967292" verticalDpi="0" r:id="rId1"/>
  <headerFooter>
    <oddFooter>&amp;CHalaman &amp;P dari &amp;N</oddFooter>
  </headerFooter>
  <drawing r:id="rId2"/>
  <legacyDrawing r:id="rId3"/>
  <legacyDrawingHF r:id="rId4"/>
  <controls>
    <mc:AlternateContent xmlns:mc="http://schemas.openxmlformats.org/markup-compatibility/2006">
      <mc:Choice Requires="x14">
        <control shapeId="34818" r:id="rId5" name="tab_main_menu">
          <controlPr defaultSize="0" print="0" autoLine="0" r:id="rId6">
            <anchor moveWithCells="1">
              <from>
                <xdr:col>9</xdr:col>
                <xdr:colOff>400050</xdr:colOff>
                <xdr:row>2</xdr:row>
                <xdr:rowOff>152400</xdr:rowOff>
              </from>
              <to>
                <xdr:col>11</xdr:col>
                <xdr:colOff>47625</xdr:colOff>
                <xdr:row>2</xdr:row>
                <xdr:rowOff>419100</xdr:rowOff>
              </to>
            </anchor>
          </controlPr>
        </control>
      </mc:Choice>
      <mc:Fallback>
        <control shapeId="34818" r:id="rId5" name="tab_main_menu"/>
      </mc:Fallback>
    </mc:AlternateContent>
    <mc:AlternateContent xmlns:mc="http://schemas.openxmlformats.org/markup-compatibility/2006">
      <mc:Choice Requires="x14">
        <control shapeId="34819" r:id="rId7" name="tab_save_pdf">
          <controlPr defaultSize="0" print="0" autoLine="0" r:id="rId8">
            <anchor moveWithCells="1">
              <from>
                <xdr:col>8</xdr:col>
                <xdr:colOff>514350</xdr:colOff>
                <xdr:row>0</xdr:row>
                <xdr:rowOff>95250</xdr:rowOff>
              </from>
              <to>
                <xdr:col>11</xdr:col>
                <xdr:colOff>38100</xdr:colOff>
                <xdr:row>2</xdr:row>
                <xdr:rowOff>19050</xdr:rowOff>
              </to>
            </anchor>
          </controlPr>
        </control>
      </mc:Choice>
      <mc:Fallback>
        <control shapeId="34819" r:id="rId7" name="tab_save_pdf"/>
      </mc:Fallback>
    </mc:AlternateContent>
  </controls>
  <tableParts count="1">
    <tablePart r:id="rId9"/>
  </tableParts>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33"/>
  <sheetViews>
    <sheetView showGridLines="0" workbookViewId="0">
      <selection activeCell="E23" sqref="E23"/>
    </sheetView>
  </sheetViews>
  <sheetFormatPr defaultRowHeight="15" x14ac:dyDescent="0.25"/>
  <cols>
    <col min="1" max="1" width="20.42578125" bestFit="1" customWidth="1"/>
    <col min="2" max="2" width="14" customWidth="1"/>
    <col min="3" max="3" width="13.28515625" customWidth="1"/>
    <col min="4" max="4" width="20.140625" bestFit="1" customWidth="1"/>
    <col min="5" max="5" width="13" customWidth="1"/>
    <col min="6" max="6" width="12.28515625" customWidth="1"/>
    <col min="7" max="7" width="19.42578125" customWidth="1"/>
    <col min="8" max="8" width="12.7109375" customWidth="1"/>
    <col min="9" max="9" width="14" customWidth="1"/>
    <col min="10" max="10" width="17" customWidth="1"/>
    <col min="11" max="11" width="13.42578125" customWidth="1"/>
  </cols>
  <sheetData>
    <row r="1" spans="1:11" x14ac:dyDescent="0.25">
      <c r="D1" s="86" t="s">
        <v>581</v>
      </c>
      <c r="E1" s="86"/>
      <c r="F1" s="86"/>
      <c r="G1" s="86"/>
    </row>
    <row r="2" spans="1:11" x14ac:dyDescent="0.25">
      <c r="D2" s="86"/>
      <c r="E2" s="86"/>
      <c r="F2" s="86"/>
      <c r="G2" s="86"/>
    </row>
    <row r="5" spans="1:11" x14ac:dyDescent="0.25">
      <c r="A5" s="10"/>
    </row>
    <row r="6" spans="1:11" ht="30" x14ac:dyDescent="0.25">
      <c r="A6" s="12" t="s">
        <v>555</v>
      </c>
      <c r="B6" s="41" t="s">
        <v>1</v>
      </c>
      <c r="C6" s="12" t="s">
        <v>2</v>
      </c>
      <c r="D6" s="12" t="s">
        <v>369</v>
      </c>
      <c r="E6" s="41" t="s">
        <v>18</v>
      </c>
    </row>
    <row r="7" spans="1:11" x14ac:dyDescent="0.25">
      <c r="A7" s="12" t="s">
        <v>15</v>
      </c>
      <c r="B7" s="37">
        <f>IFERROR((GETPIVOTDATA("Peringkat",$G$16,"Risiko","Inherent Strategis")),"Tidak tersedia")</f>
        <v>5</v>
      </c>
      <c r="C7" s="37">
        <f>IFERROR((GETPIVOTDATA("Peringkat",$J$16,"Risiko","KPMR Strategis")),"Tidak tersedia")</f>
        <v>4.8571428571428568</v>
      </c>
      <c r="D7" s="38">
        <f>IFERROR((AVERAGE(B7:C7)),"Tidak tersedia")</f>
        <v>4.9285714285714288</v>
      </c>
      <c r="E7" s="39">
        <f>IFERROR(((IF(OR((ISBLANK(B7)),(ISBLANK(C7)))," ",(VLOOKUP((ROUND(B7,0))&amp;(ROUND(C7,0)),Index!D:E,2,0))))),"Tidak tersedia")</f>
        <v>5</v>
      </c>
      <c r="G7" s="2" t="str">
        <f>IFERROR(("Risiko Strategis memiliki skor komposit rata-rata "&amp;(ROUND(D7,2)&amp;" dengan peringkat "&amp;E7)),"Tidak tersedia (data belum lengkap)")</f>
        <v>Risiko Strategis memiliki skor komposit rata-rata 4,93 dengan peringkat 5</v>
      </c>
      <c r="H7" s="2"/>
      <c r="I7" s="2"/>
      <c r="J7" s="2"/>
      <c r="K7" s="2"/>
    </row>
    <row r="8" spans="1:11" x14ac:dyDescent="0.25">
      <c r="A8" s="12" t="s">
        <v>139</v>
      </c>
      <c r="B8" s="37" t="str">
        <f>IFERROR((GETPIVOTDATA("Peringkat",$G$16,"Risiko","Inherent Operasional")),"Tidak tersedia")</f>
        <v>Tidak tersedia</v>
      </c>
      <c r="C8" s="37">
        <f>IFERROR((GETPIVOTDATA("Peringkat",$J$16,"Risiko","KPMR Operasional")),"Tidak tersedia")</f>
        <v>3</v>
      </c>
      <c r="D8" s="38">
        <f>IFERROR((AVERAGE(B8:C8)),"Tidak tersedia")</f>
        <v>3</v>
      </c>
      <c r="E8" s="39" t="str">
        <f>IFERROR(((IF(OR((ISBLANK(B8)),(ISBLANK(C8)))," ",(VLOOKUP((ROUND(B8,0))&amp;(ROUND(C8,0)),Index!D:E,2,0))))),"Tidak tersedia")</f>
        <v>Tidak tersedia</v>
      </c>
      <c r="G8" s="2" t="str">
        <f>IFERROR(("Risiko Operasional memiliki skor komposit rata-rata "&amp;(ROUND(D8,2)&amp;" dengan peringkat "&amp;E8)),"Tidak tersedia (data belum lengkap)")</f>
        <v>Risiko Operasional memiliki skor komposit rata-rata 3 dengan peringkat Tidak tersedia</v>
      </c>
      <c r="H8" s="2"/>
    </row>
    <row r="9" spans="1:11" x14ac:dyDescent="0.25">
      <c r="A9" s="12" t="s">
        <v>295</v>
      </c>
      <c r="B9" s="37" t="str">
        <f>IFERROR((GETPIVOTDATA("Peringkat",$G$16,"Risiko","Inherent Hukum")),"Tidak tersedia")</f>
        <v>Tidak tersedia</v>
      </c>
      <c r="C9" s="37" t="str">
        <f>IFERROR((GETPIVOTDATA("Peringkat",$J$16,"Risiko","KPMR Hukum")),"Tidak tersedia")</f>
        <v>Tidak tersedia</v>
      </c>
      <c r="D9" s="38" t="str">
        <f>IFERROR((AVERAGE(B9:C9)),"Tidak tersedia")</f>
        <v>Tidak tersedia</v>
      </c>
      <c r="E9" s="39" t="str">
        <f>IFERROR(((IF(OR((ISBLANK(B9)),(ISBLANK(C9)))," ",(VLOOKUP((ROUND(B9,0))&amp;(ROUND(C9,0)),Index!D:E,2,0))))),"Tidak tersedia")</f>
        <v>Tidak tersedia</v>
      </c>
      <c r="G9" s="2" t="str">
        <f>IFERROR(("Risiko Hukum memiliki skor komposit rata-rata "&amp;(ROUND(D9,2)&amp;" dengan peringkat "&amp;E9)),"Tidak tersedia (data belum lengkap)")</f>
        <v>Tidak tersedia (data belum lengkap)</v>
      </c>
      <c r="H9" s="2"/>
    </row>
    <row r="10" spans="1:11" x14ac:dyDescent="0.25">
      <c r="A10" s="12" t="s">
        <v>296</v>
      </c>
      <c r="B10" s="37">
        <f>IFERROR((GETPIVOTDATA("Peringkat",$G$16,"Risiko","Inherent Kepatuhan")),"Tidak tersedia")</f>
        <v>2.2999999999999998</v>
      </c>
      <c r="C10" s="37">
        <f>IFERROR((GETPIVOTDATA("Peringkat",$J$16,"Risiko","KPMR Kepatuhan")),"Tidak tersedia")</f>
        <v>3.0769230769230771</v>
      </c>
      <c r="D10" s="38">
        <f>IFERROR((AVERAGE(B10:C10)),"Tidak tersedia")</f>
        <v>2.6884615384615387</v>
      </c>
      <c r="E10" s="39">
        <f>IFERROR(((IF(OR((ISBLANK(B10)),(ISBLANK(C10)))," ",(VLOOKUP((ROUND(B10,0))&amp;(ROUND(C10,0)),Index!D:E,2,0))))),"Tidak tersedia")</f>
        <v>2</v>
      </c>
      <c r="G10" s="2" t="str">
        <f>IFERROR(("Risiko Kepatuhan memiliki skor komposit rata-rata "&amp;(ROUND(D10,2)&amp;" dengan peringkat "&amp;E10)),"Tidak tersedia (data belum lengkap)")</f>
        <v>Risiko Kepatuhan memiliki skor komposit rata-rata 2,69 dengan peringkat 2</v>
      </c>
      <c r="H10" s="2"/>
    </row>
    <row r="11" spans="1:11" x14ac:dyDescent="0.25">
      <c r="A11" s="12" t="s">
        <v>297</v>
      </c>
      <c r="B11" s="37">
        <f>IFERROR((GETPIVOTDATA("Peringkat",$G$16,"Risiko","Inherent Reputasi")),"Tidak tersedia")</f>
        <v>2</v>
      </c>
      <c r="C11" s="37">
        <f>IFERROR((GETPIVOTDATA("Peringkat",$J$16,"Risiko","KPMR Reputasi")),"Tidak tersedia")</f>
        <v>0</v>
      </c>
      <c r="D11" s="38">
        <f>IFERROR((AVERAGE(B11:C11)),"Tidak tersedia")</f>
        <v>1</v>
      </c>
      <c r="E11" s="39" t="str">
        <f>IFERROR(((IF(OR((ISBLANK(B11)),(ISBLANK(C11)))," ",(VLOOKUP((ROUND(B11,0))&amp;(ROUND(C11,0)),Index!D:E,2,0))))),"Tidak tersedia")</f>
        <v>Tidak tersedia</v>
      </c>
      <c r="G11" s="2" t="str">
        <f>IFERROR(("Risiko Reputasi memiliki skor komposit rata-rata "&amp;(ROUND(D11,2)&amp;" dengan peringkat "&amp;E11)),"Tidak tersedia (data belum lengkap)")</f>
        <v>Risiko Reputasi memiliki skor komposit rata-rata 1 dengan peringkat Tidak tersedia</v>
      </c>
      <c r="H11" s="2"/>
    </row>
    <row r="12" spans="1:11" x14ac:dyDescent="0.25">
      <c r="A12" s="12" t="s">
        <v>370</v>
      </c>
      <c r="B12" s="53"/>
      <c r="C12" s="53"/>
      <c r="D12" s="53"/>
      <c r="E12" s="39" t="str">
        <f>IF((OR(ISTEXT(E7),(ISTEXT(E8)),(ISTEXT(E9)),(ISTEXT(E10)),(ISTEXT(E1)))),("Tidak tersedia"),(VLOOKUP(A12&amp;ROUND(AVERAGE(E7:E11),0),Index!D:E,2,0)))</f>
        <v>Tidak tersedia</v>
      </c>
      <c r="G12" s="2" t="str">
        <f>IFERROR(("Risiko Perusahaan memiliki" &amp; " peringkat "&amp;E12),"Tidak tersedia (data belum lengkap)")</f>
        <v>Risiko Perusahaan memiliki peringkat Tidak tersedia</v>
      </c>
      <c r="H12" s="2"/>
    </row>
    <row r="13" spans="1:11" x14ac:dyDescent="0.25">
      <c r="B13" s="11"/>
      <c r="C13" s="11"/>
      <c r="D13" s="14"/>
      <c r="E13" s="11"/>
    </row>
    <row r="14" spans="1:11" hidden="1" x14ac:dyDescent="0.25">
      <c r="A14" s="7" t="s">
        <v>373</v>
      </c>
      <c r="B14" t="s">
        <v>371</v>
      </c>
      <c r="C14" s="11"/>
      <c r="D14" s="7" t="s">
        <v>373</v>
      </c>
      <c r="E14" t="s">
        <v>374</v>
      </c>
      <c r="G14" s="7" t="s">
        <v>373</v>
      </c>
      <c r="H14" t="s">
        <v>380</v>
      </c>
      <c r="J14" s="7" t="s">
        <v>373</v>
      </c>
      <c r="K14" t="s">
        <v>372</v>
      </c>
    </row>
    <row r="15" spans="1:11" x14ac:dyDescent="0.25">
      <c r="A15" s="12" t="s">
        <v>371</v>
      </c>
      <c r="B15" s="15"/>
      <c r="C15" s="12"/>
      <c r="D15" s="12" t="s">
        <v>374</v>
      </c>
      <c r="E15" s="15"/>
      <c r="G15" s="12" t="s">
        <v>381</v>
      </c>
      <c r="H15" s="15"/>
      <c r="J15" s="12" t="s">
        <v>372</v>
      </c>
    </row>
    <row r="16" spans="1:11" x14ac:dyDescent="0.25">
      <c r="A16" s="7" t="s">
        <v>31</v>
      </c>
      <c r="B16" t="s">
        <v>46</v>
      </c>
      <c r="D16" s="7" t="s">
        <v>31</v>
      </c>
      <c r="E16" t="s">
        <v>46</v>
      </c>
      <c r="G16" s="7" t="s">
        <v>31</v>
      </c>
      <c r="H16" t="s">
        <v>46</v>
      </c>
      <c r="J16" s="7" t="s">
        <v>31</v>
      </c>
      <c r="K16" t="s">
        <v>46</v>
      </c>
    </row>
    <row r="17" spans="1:11" x14ac:dyDescent="0.25">
      <c r="A17" s="13" t="s">
        <v>368</v>
      </c>
      <c r="B17" s="11">
        <v>5</v>
      </c>
      <c r="D17" s="13" t="s">
        <v>368</v>
      </c>
      <c r="E17" s="11">
        <v>5</v>
      </c>
      <c r="G17" s="13" t="s">
        <v>368</v>
      </c>
      <c r="H17" s="11">
        <v>5</v>
      </c>
      <c r="J17" s="13" t="s">
        <v>359</v>
      </c>
      <c r="K17" s="11">
        <v>4.8571428571428568</v>
      </c>
    </row>
    <row r="18" spans="1:11" x14ac:dyDescent="0.25">
      <c r="A18" s="13" t="s">
        <v>365</v>
      </c>
      <c r="B18" s="11">
        <v>2</v>
      </c>
      <c r="D18" s="13" t="s">
        <v>365</v>
      </c>
      <c r="E18" s="11">
        <v>2.4285714285714284</v>
      </c>
      <c r="G18" s="13" t="s">
        <v>365</v>
      </c>
      <c r="H18" s="11">
        <v>2.2999999999999998</v>
      </c>
      <c r="J18" s="13" t="s">
        <v>360</v>
      </c>
      <c r="K18" s="11">
        <v>3</v>
      </c>
    </row>
    <row r="19" spans="1:11" x14ac:dyDescent="0.25">
      <c r="A19" s="13" t="s">
        <v>364</v>
      </c>
      <c r="B19" s="11"/>
      <c r="D19" s="13" t="s">
        <v>364</v>
      </c>
      <c r="E19" s="11">
        <v>2</v>
      </c>
      <c r="G19" s="13" t="s">
        <v>364</v>
      </c>
      <c r="H19" s="11">
        <v>2</v>
      </c>
      <c r="J19" s="13" t="s">
        <v>362</v>
      </c>
      <c r="K19" s="11">
        <v>3.0769230769230771</v>
      </c>
    </row>
    <row r="20" spans="1:11" x14ac:dyDescent="0.25">
      <c r="A20" s="13" t="s">
        <v>32</v>
      </c>
      <c r="B20" s="11">
        <v>3.875</v>
      </c>
      <c r="D20" s="13" t="s">
        <v>32</v>
      </c>
      <c r="E20" s="11">
        <v>4</v>
      </c>
      <c r="G20" s="13" t="s">
        <v>32</v>
      </c>
      <c r="H20" s="11">
        <v>3.9655172413793105</v>
      </c>
      <c r="J20" s="13" t="s">
        <v>363</v>
      </c>
      <c r="K20" s="11"/>
    </row>
    <row r="21" spans="1:11" x14ac:dyDescent="0.25">
      <c r="J21" s="13" t="s">
        <v>32</v>
      </c>
      <c r="K21" s="11">
        <v>3.9642857142857144</v>
      </c>
    </row>
    <row r="24" spans="1:11" ht="15" customHeight="1" x14ac:dyDescent="0.25">
      <c r="C24" s="13" t="s">
        <v>562</v>
      </c>
      <c r="D24" s="85" t="str">
        <f>IFERROR((VLOOKUP(A12&amp;E12,Index!D:F,3,0)),"Tidak tersedia (data belum lengkap)")</f>
        <v>Tidak tersedia (data belum lengkap)</v>
      </c>
      <c r="E24" s="85"/>
      <c r="F24" s="85"/>
      <c r="G24" s="85"/>
      <c r="H24" s="85"/>
      <c r="I24" s="85"/>
      <c r="J24" s="85"/>
    </row>
    <row r="25" spans="1:11" x14ac:dyDescent="0.25">
      <c r="D25" s="85"/>
      <c r="E25" s="85"/>
      <c r="F25" s="85"/>
      <c r="G25" s="85"/>
      <c r="H25" s="85"/>
      <c r="I25" s="85"/>
      <c r="J25" s="85"/>
    </row>
    <row r="26" spans="1:11" x14ac:dyDescent="0.25">
      <c r="D26" s="85"/>
      <c r="E26" s="85"/>
      <c r="F26" s="85"/>
      <c r="G26" s="85"/>
      <c r="H26" s="85"/>
      <c r="I26" s="85"/>
      <c r="J26" s="85"/>
    </row>
    <row r="27" spans="1:11" x14ac:dyDescent="0.25">
      <c r="C27" s="31"/>
      <c r="D27" s="85"/>
      <c r="E27" s="85"/>
      <c r="F27" s="85"/>
      <c r="G27" s="85"/>
      <c r="H27" s="85"/>
      <c r="I27" s="85"/>
      <c r="J27" s="85"/>
    </row>
    <row r="28" spans="1:11" x14ac:dyDescent="0.25">
      <c r="D28" s="85"/>
      <c r="E28" s="85"/>
      <c r="F28" s="85"/>
      <c r="G28" s="85"/>
      <c r="H28" s="85"/>
      <c r="I28" s="85"/>
      <c r="J28" s="85"/>
    </row>
    <row r="29" spans="1:11" x14ac:dyDescent="0.25">
      <c r="D29" s="40"/>
      <c r="E29" s="40"/>
      <c r="F29" s="40"/>
      <c r="G29" s="40"/>
      <c r="H29" s="40"/>
      <c r="I29" s="40"/>
      <c r="J29" s="40"/>
    </row>
    <row r="30" spans="1:11" x14ac:dyDescent="0.25">
      <c r="D30" s="40"/>
      <c r="E30" s="40"/>
      <c r="F30" s="40"/>
      <c r="G30" s="40"/>
    </row>
    <row r="31" spans="1:11" x14ac:dyDescent="0.25">
      <c r="D31" s="40"/>
      <c r="E31" s="40"/>
      <c r="F31" s="40"/>
      <c r="G31" s="40"/>
    </row>
    <row r="32" spans="1:11" x14ac:dyDescent="0.25">
      <c r="D32" s="40"/>
      <c r="E32" s="40"/>
      <c r="F32" s="40"/>
      <c r="G32" s="40"/>
    </row>
    <row r="33" spans="1:7" x14ac:dyDescent="0.25">
      <c r="A33" s="13"/>
      <c r="D33" s="40"/>
      <c r="E33" s="40"/>
      <c r="F33" s="40"/>
      <c r="G33" s="40"/>
    </row>
  </sheetData>
  <sheetProtection password="E0C0" sheet="1" scenarios="1" sort="0" pivotTables="0"/>
  <mergeCells count="2">
    <mergeCell ref="D24:J28"/>
    <mergeCell ref="D1:G2"/>
  </mergeCells>
  <conditionalFormatting sqref="E7:E12">
    <cfRule type="cellIs" dxfId="127" priority="21" operator="between">
      <formula>5</formula>
      <formula>4.000000000001</formula>
    </cfRule>
    <cfRule type="cellIs" dxfId="126" priority="22" operator="between">
      <formula>4</formula>
      <formula>3.000000001</formula>
    </cfRule>
    <cfRule type="cellIs" dxfId="125" priority="23" operator="between">
      <formula>3</formula>
      <formula>2.000000001</formula>
    </cfRule>
    <cfRule type="cellIs" dxfId="124" priority="24" operator="between">
      <formula>2</formula>
      <formula>1.00000001</formula>
    </cfRule>
    <cfRule type="cellIs" dxfId="123" priority="25" operator="between">
      <formula>1</formula>
      <formula>0.000000000001</formula>
    </cfRule>
    <cfRule type="cellIs" dxfId="122" priority="26" operator="between">
      <formula>5</formula>
      <formula>4.000000000001</formula>
    </cfRule>
    <cfRule type="cellIs" dxfId="121" priority="27" operator="between">
      <formula>4</formula>
      <formula>3.000000001</formula>
    </cfRule>
    <cfRule type="cellIs" dxfId="120" priority="28" operator="between">
      <formula>3</formula>
      <formula>2.000000001</formula>
    </cfRule>
    <cfRule type="cellIs" dxfId="119" priority="29" operator="between">
      <formula>2</formula>
      <formula>1.00000001</formula>
    </cfRule>
    <cfRule type="cellIs" dxfId="118" priority="30" operator="between">
      <formula>1</formula>
      <formula>0.000000000001</formula>
    </cfRule>
  </conditionalFormatting>
  <pageMargins left="0.7" right="0.7" top="0.75" bottom="0.75" header="0.3" footer="0.3"/>
  <pageSetup paperSize="9" orientation="portrait" horizontalDpi="4294967292" verticalDpi="0" r:id="rId5"/>
  <ignoredErrors>
    <ignoredError sqref="D7:E11 E12" calculatedColumn="1"/>
  </ignoredErrors>
  <drawing r:id="rId6"/>
  <legacyDrawing r:id="rId7"/>
  <controls>
    <mc:AlternateContent xmlns:mc="http://schemas.openxmlformats.org/markup-compatibility/2006">
      <mc:Choice Requires="x14">
        <control shapeId="2058" r:id="rId8" name="menu_risiko_kepatuhan">
          <controlPr defaultSize="0" autoLine="0" r:id="rId9">
            <anchor moveWithCells="1">
              <from>
                <xdr:col>3</xdr:col>
                <xdr:colOff>1019175</xdr:colOff>
                <xdr:row>2</xdr:row>
                <xdr:rowOff>152400</xdr:rowOff>
              </from>
              <to>
                <xdr:col>5</xdr:col>
                <xdr:colOff>171450</xdr:colOff>
                <xdr:row>4</xdr:row>
                <xdr:rowOff>66675</xdr:rowOff>
              </to>
            </anchor>
          </controlPr>
        </control>
      </mc:Choice>
      <mc:Fallback>
        <control shapeId="2058" r:id="rId8" name="menu_risiko_kepatuhan"/>
      </mc:Fallback>
    </mc:AlternateContent>
    <mc:AlternateContent xmlns:mc="http://schemas.openxmlformats.org/markup-compatibility/2006">
      <mc:Choice Requires="x14">
        <control shapeId="2057" r:id="rId10" name="menu_risiko_reputasi">
          <controlPr defaultSize="0" autoLine="0" r:id="rId11">
            <anchor moveWithCells="1">
              <from>
                <xdr:col>5</xdr:col>
                <xdr:colOff>295275</xdr:colOff>
                <xdr:row>2</xdr:row>
                <xdr:rowOff>152400</xdr:rowOff>
              </from>
              <to>
                <xdr:col>6</xdr:col>
                <xdr:colOff>685800</xdr:colOff>
                <xdr:row>4</xdr:row>
                <xdr:rowOff>66675</xdr:rowOff>
              </to>
            </anchor>
          </controlPr>
        </control>
      </mc:Choice>
      <mc:Fallback>
        <control shapeId="2057" r:id="rId10" name="menu_risiko_reputasi"/>
      </mc:Fallback>
    </mc:AlternateContent>
    <mc:AlternateContent xmlns:mc="http://schemas.openxmlformats.org/markup-compatibility/2006">
      <mc:Choice Requires="x14">
        <control shapeId="2056" r:id="rId12" name="menu_risiko_hukum">
          <controlPr defaultSize="0" autoLine="0" r:id="rId13">
            <anchor moveWithCells="1">
              <from>
                <xdr:col>2</xdr:col>
                <xdr:colOff>666750</xdr:colOff>
                <xdr:row>2</xdr:row>
                <xdr:rowOff>152400</xdr:rowOff>
              </from>
              <to>
                <xdr:col>3</xdr:col>
                <xdr:colOff>914400</xdr:colOff>
                <xdr:row>4</xdr:row>
                <xdr:rowOff>66675</xdr:rowOff>
              </to>
            </anchor>
          </controlPr>
        </control>
      </mc:Choice>
      <mc:Fallback>
        <control shapeId="2056" r:id="rId12" name="menu_risiko_hukum"/>
      </mc:Fallback>
    </mc:AlternateContent>
    <mc:AlternateContent xmlns:mc="http://schemas.openxmlformats.org/markup-compatibility/2006">
      <mc:Choice Requires="x14">
        <control shapeId="2055" r:id="rId14" name="menu_risiko_operasional">
          <controlPr defaultSize="0" autoLine="0" r:id="rId15">
            <anchor moveWithCells="1">
              <from>
                <xdr:col>1</xdr:col>
                <xdr:colOff>104775</xdr:colOff>
                <xdr:row>2</xdr:row>
                <xdr:rowOff>152400</xdr:rowOff>
              </from>
              <to>
                <xdr:col>2</xdr:col>
                <xdr:colOff>533400</xdr:colOff>
                <xdr:row>4</xdr:row>
                <xdr:rowOff>66675</xdr:rowOff>
              </to>
            </anchor>
          </controlPr>
        </control>
      </mc:Choice>
      <mc:Fallback>
        <control shapeId="2055" r:id="rId14" name="menu_risiko_operasional"/>
      </mc:Fallback>
    </mc:AlternateContent>
    <mc:AlternateContent xmlns:mc="http://schemas.openxmlformats.org/markup-compatibility/2006">
      <mc:Choice Requires="x14">
        <control shapeId="2054" r:id="rId16" name="menu_risiko_strategis">
          <controlPr defaultSize="0" autoLine="0" r:id="rId17">
            <anchor moveWithCells="1">
              <from>
                <xdr:col>0</xdr:col>
                <xdr:colOff>104775</xdr:colOff>
                <xdr:row>2</xdr:row>
                <xdr:rowOff>152400</xdr:rowOff>
              </from>
              <to>
                <xdr:col>0</xdr:col>
                <xdr:colOff>1333500</xdr:colOff>
                <xdr:row>4</xdr:row>
                <xdr:rowOff>66675</xdr:rowOff>
              </to>
            </anchor>
          </controlPr>
        </control>
      </mc:Choice>
      <mc:Fallback>
        <control shapeId="2054" r:id="rId16" name="menu_risiko_strategis"/>
      </mc:Fallback>
    </mc:AlternateContent>
    <mc:AlternateContent xmlns:mc="http://schemas.openxmlformats.org/markup-compatibility/2006">
      <mc:Choice Requires="x14">
        <control shapeId="2052" r:id="rId18" name="tab_report">
          <controlPr defaultSize="0" autoLine="0" r:id="rId19">
            <anchor moveWithCells="1">
              <from>
                <xdr:col>9</xdr:col>
                <xdr:colOff>847725</xdr:colOff>
                <xdr:row>2</xdr:row>
                <xdr:rowOff>152400</xdr:rowOff>
              </from>
              <to>
                <xdr:col>10</xdr:col>
                <xdr:colOff>876300</xdr:colOff>
                <xdr:row>4</xdr:row>
                <xdr:rowOff>66675</xdr:rowOff>
              </to>
            </anchor>
          </controlPr>
        </control>
      </mc:Choice>
      <mc:Fallback>
        <control shapeId="2052" r:id="rId18" name="tab_report"/>
      </mc:Fallback>
    </mc:AlternateContent>
    <mc:AlternateContent xmlns:mc="http://schemas.openxmlformats.org/markup-compatibility/2006">
      <mc:Choice Requires="x14">
        <control shapeId="2050" r:id="rId20" name="tab_main_menu">
          <controlPr defaultSize="0" autoLine="0" r:id="rId21">
            <anchor moveWithCells="1">
              <from>
                <xdr:col>0</xdr:col>
                <xdr:colOff>85725</xdr:colOff>
                <xdr:row>0</xdr:row>
                <xdr:rowOff>57150</xdr:rowOff>
              </from>
              <to>
                <xdr:col>0</xdr:col>
                <xdr:colOff>952500</xdr:colOff>
                <xdr:row>1</xdr:row>
                <xdr:rowOff>133350</xdr:rowOff>
              </to>
            </anchor>
          </controlPr>
        </control>
      </mc:Choice>
      <mc:Fallback>
        <control shapeId="2050" r:id="rId20" name="tab_main_menu"/>
      </mc:Fallback>
    </mc:AlternateContent>
  </controls>
  <tableParts count="1">
    <tablePart r:id="rId22"/>
  </tableParts>
  <extLst>
    <ext xmlns:x14="http://schemas.microsoft.com/office/spreadsheetml/2009/9/main" uri="{A8765BA9-456A-4dab-B4F3-ACF838C121DE}">
      <x14:slicerList>
        <x14:slicer r:id="rId2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3:C12"/>
  <sheetViews>
    <sheetView showGridLines="0" workbookViewId="0">
      <selection activeCell="F20" sqref="F20"/>
    </sheetView>
  </sheetViews>
  <sheetFormatPr defaultRowHeight="15" x14ac:dyDescent="0.25"/>
  <cols>
    <col min="1" max="1" width="17.7109375" bestFit="1" customWidth="1"/>
    <col min="2" max="2" width="19" bestFit="1" customWidth="1"/>
    <col min="3" max="3" width="11.28515625" customWidth="1"/>
    <col min="4" max="4" width="17" bestFit="1" customWidth="1"/>
    <col min="5" max="5" width="16.42578125" bestFit="1" customWidth="1"/>
    <col min="6" max="6" width="17.7109375" bestFit="1" customWidth="1"/>
    <col min="7" max="8" width="14.5703125" bestFit="1" customWidth="1"/>
    <col min="9" max="10" width="11.28515625" bestFit="1" customWidth="1"/>
    <col min="11" max="11" width="14.5703125" bestFit="1" customWidth="1"/>
    <col min="12" max="12" width="11.28515625" bestFit="1" customWidth="1"/>
  </cols>
  <sheetData>
    <row r="3" spans="1:3" x14ac:dyDescent="0.25">
      <c r="A3" s="7" t="s">
        <v>576</v>
      </c>
      <c r="B3" t="s">
        <v>594</v>
      </c>
    </row>
    <row r="5" spans="1:3" x14ac:dyDescent="0.25">
      <c r="A5" s="7" t="s">
        <v>358</v>
      </c>
      <c r="B5" s="7" t="s">
        <v>33</v>
      </c>
    </row>
    <row r="6" spans="1:3" x14ac:dyDescent="0.25">
      <c r="A6" s="7" t="s">
        <v>31</v>
      </c>
      <c r="B6" t="s">
        <v>365</v>
      </c>
      <c r="C6" t="s">
        <v>32</v>
      </c>
    </row>
    <row r="7" spans="1:3" x14ac:dyDescent="0.25">
      <c r="A7" s="13" t="s">
        <v>597</v>
      </c>
      <c r="B7" s="8"/>
      <c r="C7" s="8"/>
    </row>
    <row r="8" spans="1:3" x14ac:dyDescent="0.25">
      <c r="A8" s="13">
        <v>3</v>
      </c>
      <c r="B8" s="8">
        <v>3</v>
      </c>
      <c r="C8" s="8">
        <v>3</v>
      </c>
    </row>
    <row r="9" spans="1:3" x14ac:dyDescent="0.25">
      <c r="A9" s="13">
        <v>2</v>
      </c>
      <c r="B9" s="8">
        <v>4</v>
      </c>
      <c r="C9" s="8">
        <v>4</v>
      </c>
    </row>
    <row r="10" spans="1:3" x14ac:dyDescent="0.25">
      <c r="A10" s="13">
        <v>1</v>
      </c>
      <c r="B10" s="8">
        <v>2</v>
      </c>
      <c r="C10" s="8">
        <v>2</v>
      </c>
    </row>
    <row r="11" spans="1:3" x14ac:dyDescent="0.25">
      <c r="A11" s="13">
        <v>4</v>
      </c>
      <c r="B11" s="8">
        <v>1</v>
      </c>
      <c r="C11" s="8">
        <v>1</v>
      </c>
    </row>
    <row r="12" spans="1:3" x14ac:dyDescent="0.25">
      <c r="A12" s="13" t="s">
        <v>32</v>
      </c>
      <c r="B12" s="8">
        <v>10</v>
      </c>
      <c r="C12" s="8">
        <v>10</v>
      </c>
    </row>
  </sheetData>
  <sheetProtection password="E0C0" sheet="1" scenarios="1" sort="0" pivotTables="0"/>
  <pageMargins left="0.7" right="0.7" top="0.75" bottom="0.75" header="0.3" footer="0.3"/>
  <drawing r:id="rId2"/>
  <legacyDrawing r:id="rId3"/>
  <controls>
    <mc:AlternateContent xmlns:mc="http://schemas.openxmlformats.org/markup-compatibility/2006">
      <mc:Choice Requires="x14">
        <control shapeId="35848" r:id="rId4" name="menu_risiko_kepatuhan">
          <controlPr defaultSize="0" autoLine="0" r:id="rId5">
            <anchor moveWithCells="1">
              <from>
                <xdr:col>9</xdr:col>
                <xdr:colOff>104775</xdr:colOff>
                <xdr:row>24</xdr:row>
                <xdr:rowOff>142875</xdr:rowOff>
              </from>
              <to>
                <xdr:col>10</xdr:col>
                <xdr:colOff>476250</xdr:colOff>
                <xdr:row>26</xdr:row>
                <xdr:rowOff>28575</xdr:rowOff>
              </to>
            </anchor>
          </controlPr>
        </control>
      </mc:Choice>
      <mc:Fallback>
        <control shapeId="35848" r:id="rId4" name="menu_risiko_kepatuhan"/>
      </mc:Fallback>
    </mc:AlternateContent>
    <mc:AlternateContent xmlns:mc="http://schemas.openxmlformats.org/markup-compatibility/2006">
      <mc:Choice Requires="x14">
        <control shapeId="35847" r:id="rId6" name="menu_risiko_reputasi">
          <controlPr defaultSize="0" autoLine="0" r:id="rId7">
            <anchor moveWithCells="1">
              <from>
                <xdr:col>9</xdr:col>
                <xdr:colOff>161925</xdr:colOff>
                <xdr:row>26</xdr:row>
                <xdr:rowOff>161925</xdr:rowOff>
              </from>
              <to>
                <xdr:col>10</xdr:col>
                <xdr:colOff>476250</xdr:colOff>
                <xdr:row>28</xdr:row>
                <xdr:rowOff>47625</xdr:rowOff>
              </to>
            </anchor>
          </controlPr>
        </control>
      </mc:Choice>
      <mc:Fallback>
        <control shapeId="35847" r:id="rId6" name="menu_risiko_reputasi"/>
      </mc:Fallback>
    </mc:AlternateContent>
    <mc:AlternateContent xmlns:mc="http://schemas.openxmlformats.org/markup-compatibility/2006">
      <mc:Choice Requires="x14">
        <control shapeId="35846" r:id="rId8" name="menu_risiko_hukum">
          <controlPr defaultSize="0" autoLine="0" r:id="rId9">
            <anchor moveWithCells="1">
              <from>
                <xdr:col>9</xdr:col>
                <xdr:colOff>314325</xdr:colOff>
                <xdr:row>22</xdr:row>
                <xdr:rowOff>123825</xdr:rowOff>
              </from>
              <to>
                <xdr:col>10</xdr:col>
                <xdr:colOff>476250</xdr:colOff>
                <xdr:row>24</xdr:row>
                <xdr:rowOff>9525</xdr:rowOff>
              </to>
            </anchor>
          </controlPr>
        </control>
      </mc:Choice>
      <mc:Fallback>
        <control shapeId="35846" r:id="rId8" name="menu_risiko_hukum"/>
      </mc:Fallback>
    </mc:AlternateContent>
    <mc:AlternateContent xmlns:mc="http://schemas.openxmlformats.org/markup-compatibility/2006">
      <mc:Choice Requires="x14">
        <control shapeId="35845" r:id="rId10" name="menu_risiko_operasional">
          <controlPr defaultSize="0" autoLine="0" r:id="rId11">
            <anchor moveWithCells="1">
              <from>
                <xdr:col>9</xdr:col>
                <xdr:colOff>0</xdr:colOff>
                <xdr:row>20</xdr:row>
                <xdr:rowOff>104775</xdr:rowOff>
              </from>
              <to>
                <xdr:col>10</xdr:col>
                <xdr:colOff>476250</xdr:colOff>
                <xdr:row>21</xdr:row>
                <xdr:rowOff>180975</xdr:rowOff>
              </to>
            </anchor>
          </controlPr>
        </control>
      </mc:Choice>
      <mc:Fallback>
        <control shapeId="35845" r:id="rId10" name="menu_risiko_operasional"/>
      </mc:Fallback>
    </mc:AlternateContent>
    <mc:AlternateContent xmlns:mc="http://schemas.openxmlformats.org/markup-compatibility/2006">
      <mc:Choice Requires="x14">
        <control shapeId="35844" r:id="rId12" name="menu_risiko_strategis">
          <controlPr defaultSize="0" autoLine="0" r:id="rId13">
            <anchor moveWithCells="1">
              <from>
                <xdr:col>9</xdr:col>
                <xdr:colOff>171450</xdr:colOff>
                <xdr:row>18</xdr:row>
                <xdr:rowOff>85725</xdr:rowOff>
              </from>
              <to>
                <xdr:col>10</xdr:col>
                <xdr:colOff>466725</xdr:colOff>
                <xdr:row>19</xdr:row>
                <xdr:rowOff>161925</xdr:rowOff>
              </to>
            </anchor>
          </controlPr>
        </control>
      </mc:Choice>
      <mc:Fallback>
        <control shapeId="35844" r:id="rId12" name="menu_risiko_strategis"/>
      </mc:Fallback>
    </mc:AlternateContent>
    <mc:AlternateContent xmlns:mc="http://schemas.openxmlformats.org/markup-compatibility/2006">
      <mc:Choice Requires="x14">
        <control shapeId="35841" r:id="rId14" name="tab_main_menu">
          <controlPr defaultSize="0" autoLine="0" r:id="rId15">
            <anchor moveWithCells="1">
              <from>
                <xdr:col>0</xdr:col>
                <xdr:colOff>85725</xdr:colOff>
                <xdr:row>0</xdr:row>
                <xdr:rowOff>57150</xdr:rowOff>
              </from>
              <to>
                <xdr:col>0</xdr:col>
                <xdr:colOff>952500</xdr:colOff>
                <xdr:row>1</xdr:row>
                <xdr:rowOff>133350</xdr:rowOff>
              </to>
            </anchor>
          </controlPr>
        </control>
      </mc:Choice>
      <mc:Fallback>
        <control shapeId="35841" r:id="rId14" name="tab_main_menu"/>
      </mc:Fallback>
    </mc:AlternateContent>
  </controls>
  <extLst>
    <ext xmlns:x14="http://schemas.microsoft.com/office/spreadsheetml/2009/9/main" uri="{A8765BA9-456A-4dab-B4F3-ACF838C121DE}">
      <x14:slicerList>
        <x14:slicer r:id="rId16"/>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G8"/>
  <sheetViews>
    <sheetView showGridLines="0" workbookViewId="0">
      <selection activeCell="I26" sqref="I26"/>
    </sheetView>
  </sheetViews>
  <sheetFormatPr defaultRowHeight="15" x14ac:dyDescent="0.25"/>
  <cols>
    <col min="1" max="1" width="17.7109375" customWidth="1"/>
    <col min="2" max="2" width="16.28515625" customWidth="1"/>
    <col min="3" max="3" width="7.28515625" bestFit="1" customWidth="1"/>
    <col min="4" max="4" width="2" bestFit="1" customWidth="1"/>
    <col min="5" max="5" width="3" bestFit="1" customWidth="1"/>
    <col min="6" max="11" width="2" bestFit="1" customWidth="1"/>
  </cols>
  <sheetData>
    <row r="3" spans="1:7" x14ac:dyDescent="0.25">
      <c r="A3" s="7" t="s">
        <v>14</v>
      </c>
      <c r="B3" t="s">
        <v>593</v>
      </c>
    </row>
    <row r="5" spans="1:7" x14ac:dyDescent="0.25">
      <c r="A5" s="7" t="s">
        <v>358</v>
      </c>
      <c r="B5" s="7" t="s">
        <v>33</v>
      </c>
    </row>
    <row r="6" spans="1:7" x14ac:dyDescent="0.25">
      <c r="A6" s="7" t="s">
        <v>31</v>
      </c>
      <c r="B6">
        <v>5</v>
      </c>
      <c r="C6" t="s">
        <v>597</v>
      </c>
      <c r="D6">
        <v>3</v>
      </c>
      <c r="E6">
        <v>2</v>
      </c>
      <c r="F6">
        <v>1</v>
      </c>
      <c r="G6">
        <v>4</v>
      </c>
    </row>
    <row r="7" spans="1:7" x14ac:dyDescent="0.25">
      <c r="A7" s="13" t="s">
        <v>594</v>
      </c>
      <c r="B7" s="8">
        <v>33</v>
      </c>
      <c r="C7" s="8"/>
      <c r="D7" s="8">
        <v>6</v>
      </c>
      <c r="E7" s="8">
        <v>10</v>
      </c>
      <c r="F7" s="8">
        <v>3</v>
      </c>
      <c r="G7" s="8">
        <v>5</v>
      </c>
    </row>
    <row r="8" spans="1:7" x14ac:dyDescent="0.25">
      <c r="A8" s="13" t="s">
        <v>32</v>
      </c>
      <c r="B8" s="8">
        <v>33</v>
      </c>
      <c r="C8" s="8"/>
      <c r="D8" s="8">
        <v>6</v>
      </c>
      <c r="E8" s="8">
        <v>10</v>
      </c>
      <c r="F8" s="8">
        <v>3</v>
      </c>
      <c r="G8" s="8">
        <v>5</v>
      </c>
    </row>
  </sheetData>
  <sheetProtection password="E0C0" sheet="1" scenarios="1" sort="0" pivotTables="0"/>
  <pageMargins left="0.7" right="0.7" top="0.75" bottom="0.75" header="0.3" footer="0.3"/>
  <drawing r:id="rId2"/>
  <legacyDrawing r:id="rId3"/>
  <controls>
    <mc:AlternateContent xmlns:mc="http://schemas.openxmlformats.org/markup-compatibility/2006">
      <mc:Choice Requires="x14">
        <control shapeId="36870" r:id="rId4" name="menu_risiko_kepatuhan">
          <controlPr defaultSize="0" autoLine="0" r:id="rId5">
            <anchor moveWithCells="1">
              <from>
                <xdr:col>13</xdr:col>
                <xdr:colOff>352425</xdr:colOff>
                <xdr:row>24</xdr:row>
                <xdr:rowOff>133350</xdr:rowOff>
              </from>
              <to>
                <xdr:col>15</xdr:col>
                <xdr:colOff>257175</xdr:colOff>
                <xdr:row>26</xdr:row>
                <xdr:rowOff>19050</xdr:rowOff>
              </to>
            </anchor>
          </controlPr>
        </control>
      </mc:Choice>
      <mc:Fallback>
        <control shapeId="36870" r:id="rId4" name="menu_risiko_kepatuhan"/>
      </mc:Fallback>
    </mc:AlternateContent>
    <mc:AlternateContent xmlns:mc="http://schemas.openxmlformats.org/markup-compatibility/2006">
      <mc:Choice Requires="x14">
        <control shapeId="36869" r:id="rId6" name="menu_risiko_reputasi">
          <controlPr defaultSize="0" autoLine="0" r:id="rId7">
            <anchor moveWithCells="1">
              <from>
                <xdr:col>13</xdr:col>
                <xdr:colOff>409575</xdr:colOff>
                <xdr:row>26</xdr:row>
                <xdr:rowOff>152400</xdr:rowOff>
              </from>
              <to>
                <xdr:col>15</xdr:col>
                <xdr:colOff>257175</xdr:colOff>
                <xdr:row>28</xdr:row>
                <xdr:rowOff>38100</xdr:rowOff>
              </to>
            </anchor>
          </controlPr>
        </control>
      </mc:Choice>
      <mc:Fallback>
        <control shapeId="36869" r:id="rId6" name="menu_risiko_reputasi"/>
      </mc:Fallback>
    </mc:AlternateContent>
    <mc:AlternateContent xmlns:mc="http://schemas.openxmlformats.org/markup-compatibility/2006">
      <mc:Choice Requires="x14">
        <control shapeId="36868" r:id="rId8" name="menu_risiko_hukum">
          <controlPr defaultSize="0" autoLine="0" r:id="rId9">
            <anchor moveWithCells="1">
              <from>
                <xdr:col>13</xdr:col>
                <xdr:colOff>561975</xdr:colOff>
                <xdr:row>22</xdr:row>
                <xdr:rowOff>114300</xdr:rowOff>
              </from>
              <to>
                <xdr:col>15</xdr:col>
                <xdr:colOff>257175</xdr:colOff>
                <xdr:row>24</xdr:row>
                <xdr:rowOff>0</xdr:rowOff>
              </to>
            </anchor>
          </controlPr>
        </control>
      </mc:Choice>
      <mc:Fallback>
        <control shapeId="36868" r:id="rId8" name="menu_risiko_hukum"/>
      </mc:Fallback>
    </mc:AlternateContent>
    <mc:AlternateContent xmlns:mc="http://schemas.openxmlformats.org/markup-compatibility/2006">
      <mc:Choice Requires="x14">
        <control shapeId="36867" r:id="rId10" name="menu_risiko_operasional">
          <controlPr defaultSize="0" autoLine="0" r:id="rId11">
            <anchor moveWithCells="1">
              <from>
                <xdr:col>13</xdr:col>
                <xdr:colOff>247650</xdr:colOff>
                <xdr:row>20</xdr:row>
                <xdr:rowOff>95250</xdr:rowOff>
              </from>
              <to>
                <xdr:col>15</xdr:col>
                <xdr:colOff>257175</xdr:colOff>
                <xdr:row>21</xdr:row>
                <xdr:rowOff>171450</xdr:rowOff>
              </to>
            </anchor>
          </controlPr>
        </control>
      </mc:Choice>
      <mc:Fallback>
        <control shapeId="36867" r:id="rId10" name="menu_risiko_operasional"/>
      </mc:Fallback>
    </mc:AlternateContent>
    <mc:AlternateContent xmlns:mc="http://schemas.openxmlformats.org/markup-compatibility/2006">
      <mc:Choice Requires="x14">
        <control shapeId="36866" r:id="rId12" name="menu_risiko_strategis">
          <controlPr defaultSize="0" autoLine="0" r:id="rId13">
            <anchor moveWithCells="1">
              <from>
                <xdr:col>13</xdr:col>
                <xdr:colOff>419100</xdr:colOff>
                <xdr:row>18</xdr:row>
                <xdr:rowOff>76200</xdr:rowOff>
              </from>
              <to>
                <xdr:col>15</xdr:col>
                <xdr:colOff>247650</xdr:colOff>
                <xdr:row>19</xdr:row>
                <xdr:rowOff>152400</xdr:rowOff>
              </to>
            </anchor>
          </controlPr>
        </control>
      </mc:Choice>
      <mc:Fallback>
        <control shapeId="36866" r:id="rId12" name="menu_risiko_strategis"/>
      </mc:Fallback>
    </mc:AlternateContent>
    <mc:AlternateContent xmlns:mc="http://schemas.openxmlformats.org/markup-compatibility/2006">
      <mc:Choice Requires="x14">
        <control shapeId="36865" r:id="rId14" name="tab_main_menu">
          <controlPr defaultSize="0" autoLine="0" r:id="rId15">
            <anchor moveWithCells="1">
              <from>
                <xdr:col>0</xdr:col>
                <xdr:colOff>85725</xdr:colOff>
                <xdr:row>0</xdr:row>
                <xdr:rowOff>57150</xdr:rowOff>
              </from>
              <to>
                <xdr:col>0</xdr:col>
                <xdr:colOff>952500</xdr:colOff>
                <xdr:row>1</xdr:row>
                <xdr:rowOff>133350</xdr:rowOff>
              </to>
            </anchor>
          </controlPr>
        </control>
      </mc:Choice>
      <mc:Fallback>
        <control shapeId="36865" r:id="rId14" name="tab_main_menu"/>
      </mc:Fallback>
    </mc:AlternateContent>
  </controls>
  <extLst>
    <ext xmlns:x14="http://schemas.microsoft.com/office/spreadsheetml/2009/9/main" uri="{A8765BA9-456A-4dab-B4F3-ACF838C121DE}">
      <x14:slicerList>
        <x14:slicer r:id="rId1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39"/>
  <sheetViews>
    <sheetView showGridLines="0" workbookViewId="0">
      <pane ySplit="6" topLeftCell="A7" activePane="bottomLeft" state="frozen"/>
      <selection pane="bottomLeft" activeCell="G8" sqref="G8"/>
    </sheetView>
  </sheetViews>
  <sheetFormatPr defaultRowHeight="15" x14ac:dyDescent="0.25"/>
  <cols>
    <col min="1" max="1" width="10.140625" customWidth="1"/>
    <col min="2" max="2" width="17" hidden="1" customWidth="1"/>
    <col min="3" max="3" width="17.85546875" bestFit="1" customWidth="1"/>
    <col min="4" max="4" width="35.5703125" customWidth="1"/>
    <col min="5" max="5" width="17.85546875" bestFit="1" customWidth="1"/>
    <col min="6" max="6" width="21.42578125" customWidth="1"/>
    <col min="7" max="7" width="19.140625" bestFit="1" customWidth="1"/>
    <col min="8" max="8" width="21.7109375" customWidth="1"/>
    <col min="9" max="9" width="19.85546875" customWidth="1"/>
    <col min="10" max="10" width="9.28515625" customWidth="1"/>
    <col min="11" max="11" width="10.7109375" bestFit="1" customWidth="1"/>
  </cols>
  <sheetData>
    <row r="1" spans="1:11" ht="26.25" x14ac:dyDescent="0.4">
      <c r="E1" s="87" t="s">
        <v>15</v>
      </c>
      <c r="F1" s="87"/>
      <c r="G1" s="87"/>
      <c r="H1" s="3"/>
    </row>
    <row r="2" spans="1:11" ht="18.75" x14ac:dyDescent="0.25">
      <c r="E2" s="88">
        <v>44562</v>
      </c>
      <c r="F2" s="89"/>
      <c r="G2" s="89"/>
    </row>
    <row r="4" spans="1:11" x14ac:dyDescent="0.25">
      <c r="I4" s="49" t="str">
        <f>IF(COUNTBLANK($J$7:$J$39)&gt;0,"Data belum komplit", "Data komplit")</f>
        <v>Data belum komplit</v>
      </c>
      <c r="J4" s="47"/>
    </row>
    <row r="5" spans="1:11" x14ac:dyDescent="0.25">
      <c r="I5" s="48"/>
    </row>
    <row r="6" spans="1:11" ht="30" x14ac:dyDescent="0.25">
      <c r="A6" s="28" t="s">
        <v>83</v>
      </c>
      <c r="B6" s="29" t="s">
        <v>14</v>
      </c>
      <c r="C6" s="28" t="s">
        <v>373</v>
      </c>
      <c r="D6" s="30" t="s">
        <v>382</v>
      </c>
      <c r="E6" s="30" t="s">
        <v>375</v>
      </c>
      <c r="F6" s="30" t="s">
        <v>556</v>
      </c>
      <c r="G6" s="30" t="s">
        <v>377</v>
      </c>
      <c r="H6" s="30" t="s">
        <v>378</v>
      </c>
      <c r="I6" s="30" t="s">
        <v>379</v>
      </c>
      <c r="J6" s="30" t="s">
        <v>357</v>
      </c>
      <c r="K6" s="30" t="s">
        <v>13</v>
      </c>
    </row>
    <row r="7" spans="1:11" ht="75" x14ac:dyDescent="0.25">
      <c r="A7" s="16" t="s">
        <v>401</v>
      </c>
      <c r="B7" s="16" t="s">
        <v>359</v>
      </c>
      <c r="C7" s="19" t="s">
        <v>372</v>
      </c>
      <c r="D7" s="25" t="s">
        <v>42</v>
      </c>
      <c r="E7" s="22" t="s">
        <v>36</v>
      </c>
      <c r="F7" s="22" t="s">
        <v>37</v>
      </c>
      <c r="G7" s="22" t="s">
        <v>38</v>
      </c>
      <c r="H7" s="22" t="s">
        <v>39</v>
      </c>
      <c r="I7" s="22" t="s">
        <v>40</v>
      </c>
      <c r="J7" s="36">
        <v>3</v>
      </c>
      <c r="K7" s="33">
        <v>44562</v>
      </c>
    </row>
    <row r="8" spans="1:11" ht="105" x14ac:dyDescent="0.25">
      <c r="A8" s="19" t="s">
        <v>402</v>
      </c>
      <c r="B8" s="19" t="s">
        <v>359</v>
      </c>
      <c r="C8" s="19" t="s">
        <v>372</v>
      </c>
      <c r="D8" s="26" t="s">
        <v>41</v>
      </c>
      <c r="E8" s="23" t="s">
        <v>43</v>
      </c>
      <c r="F8" s="23" t="s">
        <v>44</v>
      </c>
      <c r="G8" s="23" t="s">
        <v>45</v>
      </c>
      <c r="H8" s="23" t="s">
        <v>64</v>
      </c>
      <c r="I8" s="23" t="s">
        <v>65</v>
      </c>
      <c r="J8" s="36">
        <v>5</v>
      </c>
      <c r="K8" s="33">
        <v>44562</v>
      </c>
    </row>
    <row r="9" spans="1:11" ht="105" x14ac:dyDescent="0.25">
      <c r="A9" s="16" t="s">
        <v>403</v>
      </c>
      <c r="B9" s="16" t="s">
        <v>359</v>
      </c>
      <c r="C9" s="16" t="s">
        <v>372</v>
      </c>
      <c r="D9" s="25" t="s">
        <v>47</v>
      </c>
      <c r="E9" s="22" t="s">
        <v>52</v>
      </c>
      <c r="F9" s="22" t="s">
        <v>51</v>
      </c>
      <c r="G9" s="22" t="s">
        <v>50</v>
      </c>
      <c r="H9" s="22" t="s">
        <v>49</v>
      </c>
      <c r="I9" s="22" t="s">
        <v>48</v>
      </c>
      <c r="J9" s="36">
        <v>5</v>
      </c>
      <c r="K9" s="33">
        <v>44562</v>
      </c>
    </row>
    <row r="10" spans="1:11" ht="135" x14ac:dyDescent="0.25">
      <c r="A10" s="19" t="s">
        <v>404</v>
      </c>
      <c r="B10" s="19" t="s">
        <v>359</v>
      </c>
      <c r="C10" s="19" t="s">
        <v>372</v>
      </c>
      <c r="D10" s="26" t="s">
        <v>55</v>
      </c>
      <c r="E10" s="23" t="s">
        <v>34</v>
      </c>
      <c r="F10" s="23" t="s">
        <v>54</v>
      </c>
      <c r="G10" s="23" t="s">
        <v>53</v>
      </c>
      <c r="H10" s="23" t="s">
        <v>56</v>
      </c>
      <c r="I10" s="23" t="s">
        <v>57</v>
      </c>
      <c r="J10" s="36">
        <v>5</v>
      </c>
      <c r="K10" s="33">
        <v>44562</v>
      </c>
    </row>
    <row r="11" spans="1:11" ht="135" x14ac:dyDescent="0.25">
      <c r="A11" s="16" t="s">
        <v>405</v>
      </c>
      <c r="B11" s="16" t="s">
        <v>359</v>
      </c>
      <c r="C11" s="16" t="s">
        <v>372</v>
      </c>
      <c r="D11" s="25" t="s">
        <v>59</v>
      </c>
      <c r="E11" s="22" t="s">
        <v>58</v>
      </c>
      <c r="F11" s="22" t="s">
        <v>60</v>
      </c>
      <c r="G11" s="22" t="s">
        <v>61</v>
      </c>
      <c r="H11" s="22" t="s">
        <v>62</v>
      </c>
      <c r="I11" s="22" t="s">
        <v>63</v>
      </c>
      <c r="J11" s="36">
        <v>5</v>
      </c>
      <c r="K11" s="33">
        <v>44562</v>
      </c>
    </row>
    <row r="12" spans="1:11" ht="75" x14ac:dyDescent="0.25">
      <c r="A12" s="19" t="s">
        <v>406</v>
      </c>
      <c r="B12" s="19" t="s">
        <v>359</v>
      </c>
      <c r="C12" s="19" t="s">
        <v>372</v>
      </c>
      <c r="D12" s="26" t="s">
        <v>68</v>
      </c>
      <c r="E12" s="23" t="s">
        <v>69</v>
      </c>
      <c r="F12" s="23" t="s">
        <v>70</v>
      </c>
      <c r="G12" s="23" t="s">
        <v>66</v>
      </c>
      <c r="H12" s="23" t="s">
        <v>67</v>
      </c>
      <c r="I12" s="23" t="s">
        <v>71</v>
      </c>
      <c r="J12" s="36">
        <v>5</v>
      </c>
      <c r="K12" s="33">
        <v>44562</v>
      </c>
    </row>
    <row r="13" spans="1:11" ht="75" x14ac:dyDescent="0.25">
      <c r="A13" s="16" t="s">
        <v>407</v>
      </c>
      <c r="B13" s="16" t="s">
        <v>359</v>
      </c>
      <c r="C13" s="16" t="s">
        <v>372</v>
      </c>
      <c r="D13" s="25" t="s">
        <v>72</v>
      </c>
      <c r="E13" s="22" t="s">
        <v>73</v>
      </c>
      <c r="F13" s="22" t="s">
        <v>74</v>
      </c>
      <c r="G13" s="22" t="s">
        <v>75</v>
      </c>
      <c r="H13" s="22" t="s">
        <v>76</v>
      </c>
      <c r="I13" s="22" t="s">
        <v>77</v>
      </c>
      <c r="J13" s="36">
        <v>5</v>
      </c>
      <c r="K13" s="33">
        <v>44562</v>
      </c>
    </row>
    <row r="14" spans="1:11" ht="150" x14ac:dyDescent="0.25">
      <c r="A14" s="19" t="s">
        <v>408</v>
      </c>
      <c r="B14" s="19" t="s">
        <v>359</v>
      </c>
      <c r="C14" s="19" t="s">
        <v>372</v>
      </c>
      <c r="D14" s="26" t="s">
        <v>78</v>
      </c>
      <c r="E14" s="23" t="s">
        <v>79</v>
      </c>
      <c r="F14" s="23" t="s">
        <v>166</v>
      </c>
      <c r="G14" s="23" t="s">
        <v>80</v>
      </c>
      <c r="H14" s="23" t="s">
        <v>81</v>
      </c>
      <c r="I14" s="23" t="s">
        <v>82</v>
      </c>
      <c r="J14" s="36">
        <v>5</v>
      </c>
      <c r="K14" s="33">
        <v>44562</v>
      </c>
    </row>
    <row r="15" spans="1:11" ht="75" x14ac:dyDescent="0.25">
      <c r="A15" s="16" t="s">
        <v>409</v>
      </c>
      <c r="B15" s="16" t="s">
        <v>359</v>
      </c>
      <c r="C15" s="16" t="s">
        <v>372</v>
      </c>
      <c r="D15" s="25" t="s">
        <v>85</v>
      </c>
      <c r="E15" s="22" t="s">
        <v>34</v>
      </c>
      <c r="F15" s="22" t="s">
        <v>35</v>
      </c>
      <c r="G15" s="22" t="s">
        <v>86</v>
      </c>
      <c r="H15" s="22" t="s">
        <v>87</v>
      </c>
      <c r="I15" s="22" t="s">
        <v>88</v>
      </c>
      <c r="J15" s="36">
        <v>5</v>
      </c>
      <c r="K15" s="33">
        <v>44562</v>
      </c>
    </row>
    <row r="16" spans="1:11" ht="165" x14ac:dyDescent="0.25">
      <c r="A16" s="19" t="s">
        <v>410</v>
      </c>
      <c r="B16" s="19" t="s">
        <v>359</v>
      </c>
      <c r="C16" s="19" t="s">
        <v>372</v>
      </c>
      <c r="D16" s="26" t="s">
        <v>89</v>
      </c>
      <c r="E16" s="23" t="s">
        <v>84</v>
      </c>
      <c r="F16" s="23" t="s">
        <v>90</v>
      </c>
      <c r="G16" s="23" t="s">
        <v>91</v>
      </c>
      <c r="H16" s="23" t="s">
        <v>92</v>
      </c>
      <c r="I16" s="23" t="s">
        <v>93</v>
      </c>
      <c r="J16" s="36">
        <v>5</v>
      </c>
      <c r="K16" s="33">
        <v>44562</v>
      </c>
    </row>
    <row r="17" spans="1:11" ht="60" x14ac:dyDescent="0.25">
      <c r="A17" s="16" t="s">
        <v>411</v>
      </c>
      <c r="B17" s="16" t="s">
        <v>359</v>
      </c>
      <c r="C17" s="16" t="s">
        <v>372</v>
      </c>
      <c r="D17" s="25" t="s">
        <v>94</v>
      </c>
      <c r="E17" s="22" t="s">
        <v>34</v>
      </c>
      <c r="F17" s="22" t="s">
        <v>35</v>
      </c>
      <c r="G17" s="22" t="s">
        <v>86</v>
      </c>
      <c r="H17" s="22" t="s">
        <v>87</v>
      </c>
      <c r="I17" s="22" t="s">
        <v>88</v>
      </c>
      <c r="J17" s="36">
        <v>5</v>
      </c>
      <c r="K17" s="33">
        <v>44562</v>
      </c>
    </row>
    <row r="18" spans="1:11" ht="60" x14ac:dyDescent="0.25">
      <c r="A18" s="19" t="s">
        <v>412</v>
      </c>
      <c r="B18" s="19" t="s">
        <v>359</v>
      </c>
      <c r="C18" s="19" t="s">
        <v>372</v>
      </c>
      <c r="D18" s="26" t="s">
        <v>96</v>
      </c>
      <c r="E18" s="23" t="s">
        <v>95</v>
      </c>
      <c r="F18" s="23" t="s">
        <v>97</v>
      </c>
      <c r="G18" s="23" t="s">
        <v>98</v>
      </c>
      <c r="H18" s="23" t="s">
        <v>99</v>
      </c>
      <c r="I18" s="23" t="s">
        <v>100</v>
      </c>
      <c r="J18" s="36">
        <v>5</v>
      </c>
      <c r="K18" s="33">
        <v>44562</v>
      </c>
    </row>
    <row r="19" spans="1:11" ht="180" x14ac:dyDescent="0.25">
      <c r="A19" s="16" t="s">
        <v>413</v>
      </c>
      <c r="B19" s="16" t="s">
        <v>359</v>
      </c>
      <c r="C19" s="16" t="s">
        <v>372</v>
      </c>
      <c r="D19" s="25" t="s">
        <v>101</v>
      </c>
      <c r="E19" s="22" t="s">
        <v>102</v>
      </c>
      <c r="F19" s="22" t="s">
        <v>103</v>
      </c>
      <c r="G19" s="22" t="s">
        <v>104</v>
      </c>
      <c r="H19" s="22" t="s">
        <v>105</v>
      </c>
      <c r="I19" s="22" t="s">
        <v>106</v>
      </c>
      <c r="J19" s="36"/>
      <c r="K19" s="33">
        <v>44562</v>
      </c>
    </row>
    <row r="20" spans="1:11" ht="90" x14ac:dyDescent="0.25">
      <c r="A20" s="19" t="s">
        <v>414</v>
      </c>
      <c r="B20" s="19" t="s">
        <v>359</v>
      </c>
      <c r="C20" s="19" t="s">
        <v>372</v>
      </c>
      <c r="D20" s="26" t="s">
        <v>109</v>
      </c>
      <c r="E20" s="23" t="s">
        <v>107</v>
      </c>
      <c r="F20" s="23" t="s">
        <v>108</v>
      </c>
      <c r="G20" s="23" t="s">
        <v>110</v>
      </c>
      <c r="H20" s="23" t="s">
        <v>111</v>
      </c>
      <c r="I20" s="23" t="s">
        <v>112</v>
      </c>
      <c r="J20" s="36">
        <v>5</v>
      </c>
      <c r="K20" s="33">
        <v>44562</v>
      </c>
    </row>
    <row r="21" spans="1:11" ht="45" x14ac:dyDescent="0.25">
      <c r="A21" s="16" t="s">
        <v>415</v>
      </c>
      <c r="B21" s="16" t="s">
        <v>359</v>
      </c>
      <c r="C21" s="16" t="s">
        <v>372</v>
      </c>
      <c r="D21" s="25" t="s">
        <v>113</v>
      </c>
      <c r="E21" s="22" t="s">
        <v>34</v>
      </c>
      <c r="F21" s="22" t="s">
        <v>35</v>
      </c>
      <c r="G21" s="22" t="s">
        <v>86</v>
      </c>
      <c r="H21" s="22" t="s">
        <v>87</v>
      </c>
      <c r="I21" s="22" t="s">
        <v>114</v>
      </c>
      <c r="J21" s="36">
        <v>5</v>
      </c>
      <c r="K21" s="33">
        <v>44562</v>
      </c>
    </row>
    <row r="22" spans="1:11" ht="135" x14ac:dyDescent="0.25">
      <c r="A22" s="16" t="s">
        <v>396</v>
      </c>
      <c r="B22" s="16" t="s">
        <v>368</v>
      </c>
      <c r="C22" s="16" t="s">
        <v>371</v>
      </c>
      <c r="D22" s="25" t="s">
        <v>117</v>
      </c>
      <c r="E22" s="22" t="s">
        <v>115</v>
      </c>
      <c r="F22" s="22" t="s">
        <v>116</v>
      </c>
      <c r="G22" s="22" t="s">
        <v>138</v>
      </c>
      <c r="H22" s="22" t="s">
        <v>118</v>
      </c>
      <c r="I22" s="22" t="s">
        <v>119</v>
      </c>
      <c r="J22" s="64">
        <v>5</v>
      </c>
      <c r="K22" s="33">
        <v>44562</v>
      </c>
    </row>
    <row r="23" spans="1:11" ht="45" x14ac:dyDescent="0.25">
      <c r="A23" s="19" t="s">
        <v>397</v>
      </c>
      <c r="B23" s="19" t="s">
        <v>368</v>
      </c>
      <c r="C23" s="19" t="s">
        <v>371</v>
      </c>
      <c r="D23" s="26" t="s">
        <v>124</v>
      </c>
      <c r="E23" s="23" t="s">
        <v>125</v>
      </c>
      <c r="F23" s="23" t="s">
        <v>120</v>
      </c>
      <c r="G23" s="23" t="s">
        <v>121</v>
      </c>
      <c r="H23" s="23" t="s">
        <v>122</v>
      </c>
      <c r="I23" s="23" t="s">
        <v>123</v>
      </c>
      <c r="J23" s="64">
        <v>5</v>
      </c>
      <c r="K23" s="33">
        <v>44562</v>
      </c>
    </row>
    <row r="24" spans="1:11" ht="75" x14ac:dyDescent="0.25">
      <c r="A24" s="16" t="s">
        <v>398</v>
      </c>
      <c r="B24" s="16" t="s">
        <v>368</v>
      </c>
      <c r="C24" s="16" t="s">
        <v>371</v>
      </c>
      <c r="D24" s="25" t="s">
        <v>128</v>
      </c>
      <c r="E24" s="22" t="s">
        <v>129</v>
      </c>
      <c r="F24" s="22" t="s">
        <v>126</v>
      </c>
      <c r="G24" s="22" t="s">
        <v>127</v>
      </c>
      <c r="H24" s="22" t="s">
        <v>130</v>
      </c>
      <c r="I24" s="22" t="s">
        <v>131</v>
      </c>
      <c r="J24" s="64">
        <v>5</v>
      </c>
      <c r="K24" s="33">
        <v>44562</v>
      </c>
    </row>
    <row r="25" spans="1:11" ht="90" x14ac:dyDescent="0.25">
      <c r="A25" s="19" t="s">
        <v>399</v>
      </c>
      <c r="B25" s="19" t="s">
        <v>368</v>
      </c>
      <c r="C25" s="19" t="s">
        <v>371</v>
      </c>
      <c r="D25" s="26" t="s">
        <v>132</v>
      </c>
      <c r="E25" s="23" t="s">
        <v>133</v>
      </c>
      <c r="F25" s="23" t="s">
        <v>134</v>
      </c>
      <c r="G25" s="23" t="s">
        <v>135</v>
      </c>
      <c r="H25" s="23" t="s">
        <v>136</v>
      </c>
      <c r="I25" s="23" t="s">
        <v>416</v>
      </c>
      <c r="J25" s="64">
        <v>5</v>
      </c>
      <c r="K25" s="33">
        <v>44562</v>
      </c>
    </row>
    <row r="26" spans="1:11" ht="23.25" x14ac:dyDescent="0.25">
      <c r="A26" s="16" t="s">
        <v>400</v>
      </c>
      <c r="B26" s="16" t="s">
        <v>368</v>
      </c>
      <c r="C26" s="16" t="s">
        <v>371</v>
      </c>
      <c r="D26" s="25" t="s">
        <v>137</v>
      </c>
      <c r="E26" s="22" t="s">
        <v>34</v>
      </c>
      <c r="F26" s="22" t="s">
        <v>35</v>
      </c>
      <c r="G26" s="22" t="s">
        <v>86</v>
      </c>
      <c r="H26" s="22" t="s">
        <v>87</v>
      </c>
      <c r="I26" s="22" t="s">
        <v>88</v>
      </c>
      <c r="J26" s="64">
        <v>5</v>
      </c>
      <c r="K26" s="33">
        <v>44562</v>
      </c>
    </row>
    <row r="27" spans="1:11" ht="30" x14ac:dyDescent="0.25">
      <c r="A27" s="16" t="s">
        <v>383</v>
      </c>
      <c r="B27" s="17" t="s">
        <v>368</v>
      </c>
      <c r="C27" s="69" t="s">
        <v>374</v>
      </c>
      <c r="D27" s="25" t="s">
        <v>0</v>
      </c>
      <c r="E27" s="22"/>
      <c r="F27" s="22"/>
      <c r="G27" s="22"/>
      <c r="H27" s="22"/>
      <c r="I27" s="22"/>
      <c r="J27" s="36">
        <v>5</v>
      </c>
      <c r="K27" s="33">
        <v>44562</v>
      </c>
    </row>
    <row r="28" spans="1:11" ht="30" x14ac:dyDescent="0.25">
      <c r="A28" s="19" t="s">
        <v>384</v>
      </c>
      <c r="B28" s="18" t="s">
        <v>368</v>
      </c>
      <c r="C28" s="70" t="s">
        <v>374</v>
      </c>
      <c r="D28" s="26" t="s">
        <v>3</v>
      </c>
      <c r="E28" s="23"/>
      <c r="F28" s="23"/>
      <c r="G28" s="23"/>
      <c r="H28" s="23"/>
      <c r="I28" s="23"/>
      <c r="J28" s="36">
        <v>5</v>
      </c>
      <c r="K28" s="33">
        <v>44562</v>
      </c>
    </row>
    <row r="29" spans="1:11" ht="60" x14ac:dyDescent="0.25">
      <c r="A29" s="16" t="s">
        <v>385</v>
      </c>
      <c r="B29" s="17" t="s">
        <v>368</v>
      </c>
      <c r="C29" s="69" t="s">
        <v>374</v>
      </c>
      <c r="D29" s="25" t="s">
        <v>4</v>
      </c>
      <c r="E29" s="22"/>
      <c r="F29" s="22"/>
      <c r="G29" s="22"/>
      <c r="H29" s="22"/>
      <c r="I29" s="22"/>
      <c r="J29" s="36">
        <v>5</v>
      </c>
      <c r="K29" s="33">
        <v>44562</v>
      </c>
    </row>
    <row r="30" spans="1:11" ht="60" x14ac:dyDescent="0.25">
      <c r="A30" s="19" t="s">
        <v>386</v>
      </c>
      <c r="B30" s="18" t="s">
        <v>368</v>
      </c>
      <c r="C30" s="70" t="s">
        <v>374</v>
      </c>
      <c r="D30" s="26" t="s">
        <v>5</v>
      </c>
      <c r="E30" s="23"/>
      <c r="F30" s="23"/>
      <c r="G30" s="23"/>
      <c r="H30" s="23"/>
      <c r="I30" s="23"/>
      <c r="J30" s="36">
        <v>5</v>
      </c>
      <c r="K30" s="33">
        <v>44562</v>
      </c>
    </row>
    <row r="31" spans="1:11" ht="360" x14ac:dyDescent="0.25">
      <c r="A31" s="16" t="s">
        <v>387</v>
      </c>
      <c r="B31" s="17" t="s">
        <v>368</v>
      </c>
      <c r="C31" s="69" t="s">
        <v>374</v>
      </c>
      <c r="D31" s="25" t="s">
        <v>595</v>
      </c>
      <c r="E31" s="22"/>
      <c r="F31" s="22"/>
      <c r="G31" s="22"/>
      <c r="H31" s="22"/>
      <c r="I31" s="22"/>
      <c r="J31" s="36">
        <v>5</v>
      </c>
      <c r="K31" s="33">
        <v>44562</v>
      </c>
    </row>
    <row r="32" spans="1:11" ht="60" x14ac:dyDescent="0.25">
      <c r="A32" s="19" t="s">
        <v>388</v>
      </c>
      <c r="B32" s="18" t="s">
        <v>368</v>
      </c>
      <c r="C32" s="70" t="s">
        <v>374</v>
      </c>
      <c r="D32" s="26" t="s">
        <v>12</v>
      </c>
      <c r="E32" s="23"/>
      <c r="F32" s="23"/>
      <c r="G32" s="23"/>
      <c r="H32" s="23"/>
      <c r="I32" s="23"/>
      <c r="J32" s="36">
        <v>5</v>
      </c>
      <c r="K32" s="33">
        <v>44562</v>
      </c>
    </row>
    <row r="33" spans="1:11" ht="30" x14ac:dyDescent="0.25">
      <c r="A33" s="16" t="s">
        <v>389</v>
      </c>
      <c r="B33" s="17" t="s">
        <v>368</v>
      </c>
      <c r="C33" s="69" t="s">
        <v>374</v>
      </c>
      <c r="D33" s="25" t="s">
        <v>6</v>
      </c>
      <c r="E33" s="22"/>
      <c r="F33" s="22"/>
      <c r="G33" s="22"/>
      <c r="H33" s="22"/>
      <c r="I33" s="22"/>
      <c r="J33" s="36">
        <v>5</v>
      </c>
      <c r="K33" s="33">
        <v>44562</v>
      </c>
    </row>
    <row r="34" spans="1:11" ht="45" x14ac:dyDescent="0.25">
      <c r="A34" s="19" t="s">
        <v>390</v>
      </c>
      <c r="B34" s="18" t="s">
        <v>368</v>
      </c>
      <c r="C34" s="70" t="s">
        <v>374</v>
      </c>
      <c r="D34" s="26" t="s">
        <v>7</v>
      </c>
      <c r="E34" s="23"/>
      <c r="F34" s="23"/>
      <c r="G34" s="23"/>
      <c r="H34" s="23"/>
      <c r="I34" s="23"/>
      <c r="J34" s="36">
        <v>5</v>
      </c>
      <c r="K34" s="33">
        <v>44562</v>
      </c>
    </row>
    <row r="35" spans="1:11" ht="23.25" x14ac:dyDescent="0.25">
      <c r="A35" s="16" t="s">
        <v>391</v>
      </c>
      <c r="B35" s="17" t="s">
        <v>368</v>
      </c>
      <c r="C35" s="69" t="s">
        <v>374</v>
      </c>
      <c r="D35" s="25" t="s">
        <v>8</v>
      </c>
      <c r="E35" s="22"/>
      <c r="F35" s="22"/>
      <c r="G35" s="22"/>
      <c r="H35" s="22"/>
      <c r="I35" s="22"/>
      <c r="J35" s="36">
        <v>5</v>
      </c>
      <c r="K35" s="33">
        <v>44562</v>
      </c>
    </row>
    <row r="36" spans="1:11" ht="75" x14ac:dyDescent="0.25">
      <c r="A36" s="19" t="s">
        <v>392</v>
      </c>
      <c r="B36" s="18" t="s">
        <v>368</v>
      </c>
      <c r="C36" s="70" t="s">
        <v>374</v>
      </c>
      <c r="D36" s="26" t="s">
        <v>9</v>
      </c>
      <c r="E36" s="23"/>
      <c r="F36" s="23"/>
      <c r="G36" s="23"/>
      <c r="H36" s="23"/>
      <c r="I36" s="23"/>
      <c r="J36" s="36">
        <v>5</v>
      </c>
      <c r="K36" s="33">
        <v>44562</v>
      </c>
    </row>
    <row r="37" spans="1:11" ht="90" x14ac:dyDescent="0.25">
      <c r="A37" s="16" t="s">
        <v>393</v>
      </c>
      <c r="B37" s="17" t="s">
        <v>368</v>
      </c>
      <c r="C37" s="69" t="s">
        <v>374</v>
      </c>
      <c r="D37" s="25" t="s">
        <v>10</v>
      </c>
      <c r="E37" s="22"/>
      <c r="F37" s="22"/>
      <c r="G37" s="22"/>
      <c r="H37" s="22"/>
      <c r="I37" s="22"/>
      <c r="J37" s="36">
        <v>5</v>
      </c>
      <c r="K37" s="33">
        <v>44562</v>
      </c>
    </row>
    <row r="38" spans="1:11" ht="270" x14ac:dyDescent="0.25">
      <c r="A38" s="19" t="s">
        <v>394</v>
      </c>
      <c r="B38" s="18" t="s">
        <v>368</v>
      </c>
      <c r="C38" s="70" t="s">
        <v>374</v>
      </c>
      <c r="D38" s="26" t="s">
        <v>596</v>
      </c>
      <c r="E38" s="23"/>
      <c r="F38" s="23"/>
      <c r="G38" s="23"/>
      <c r="H38" s="23"/>
      <c r="I38" s="23"/>
      <c r="J38" s="36">
        <v>5</v>
      </c>
      <c r="K38" s="33">
        <v>44562</v>
      </c>
    </row>
    <row r="39" spans="1:11" ht="30" x14ac:dyDescent="0.25">
      <c r="A39" s="20" t="s">
        <v>395</v>
      </c>
      <c r="B39" s="21" t="s">
        <v>368</v>
      </c>
      <c r="C39" s="71" t="s">
        <v>374</v>
      </c>
      <c r="D39" s="27" t="s">
        <v>11</v>
      </c>
      <c r="E39" s="24"/>
      <c r="F39" s="24"/>
      <c r="G39" s="24"/>
      <c r="H39" s="24"/>
      <c r="I39" s="24"/>
      <c r="J39" s="36">
        <v>5</v>
      </c>
      <c r="K39" s="33">
        <v>44562</v>
      </c>
    </row>
  </sheetData>
  <sheetProtection password="E0C0" sheet="1" objects="1" scenarios="1"/>
  <protectedRanges>
    <protectedRange sqref="J7:J39" name="peringkat"/>
  </protectedRanges>
  <mergeCells count="2">
    <mergeCell ref="E1:G1"/>
    <mergeCell ref="E2:G2"/>
  </mergeCells>
  <conditionalFormatting sqref="J7:J39">
    <cfRule type="containsBlanks" dxfId="106" priority="3">
      <formula>LEN(TRIM(J7))=0</formula>
    </cfRule>
  </conditionalFormatting>
  <conditionalFormatting sqref="I4:I5">
    <cfRule type="containsText" dxfId="105" priority="2" operator="containsText" text="Data belum komplit">
      <formula>NOT(ISERROR(SEARCH("Data belum komplit",I4)))</formula>
    </cfRule>
  </conditionalFormatting>
  <conditionalFormatting sqref="I4">
    <cfRule type="containsText" dxfId="104" priority="1" operator="containsText" text="Data komplit">
      <formula>NOT(ISERROR(SEARCH("Data komplit",I4)))</formula>
    </cfRule>
  </conditionalFormatting>
  <dataValidations count="2">
    <dataValidation type="list" allowBlank="1" showInputMessage="1" showErrorMessage="1" errorTitle="Data error" error="Hanya bisa diisi 1-5" promptTitle="Petunjuk" prompt="Isi angka 1-5" sqref="J7:J39">
      <formula1>"1,2,3,4,5"</formula1>
    </dataValidation>
    <dataValidation type="textLength" operator="equal" allowBlank="1" showInputMessage="1" showErrorMessage="1" errorTitle="Error" error="Tidak bisa input data di sini" promptTitle="Error" prompt="Tidak bisa input data di sini" sqref="J40:J89">
      <formula1>0</formula1>
    </dataValidation>
  </dataValidations>
  <pageMargins left="0.7" right="0.7" top="0.75" bottom="0.75" header="0.3" footer="0.3"/>
  <pageSetup paperSize="9" orientation="portrait" horizontalDpi="4294967292" verticalDpi="0" r:id="rId1"/>
  <drawing r:id="rId2"/>
  <legacyDrawing r:id="rId3"/>
  <controls>
    <mc:AlternateContent xmlns:mc="http://schemas.openxmlformats.org/markup-compatibility/2006">
      <mc:Choice Requires="x14">
        <control shapeId="11330" r:id="rId4" name="tab_grafik">
          <controlPr defaultSize="0" autoLine="0" r:id="rId5">
            <anchor moveWithCells="1">
              <from>
                <xdr:col>7</xdr:col>
                <xdr:colOff>85725</xdr:colOff>
                <xdr:row>0</xdr:row>
                <xdr:rowOff>57150</xdr:rowOff>
              </from>
              <to>
                <xdr:col>7</xdr:col>
                <xdr:colOff>771525</xdr:colOff>
                <xdr:row>0</xdr:row>
                <xdr:rowOff>323850</xdr:rowOff>
              </to>
            </anchor>
          </controlPr>
        </control>
      </mc:Choice>
      <mc:Fallback>
        <control shapeId="11330" r:id="rId4" name="tab_grafik"/>
      </mc:Fallback>
    </mc:AlternateContent>
    <mc:AlternateContent xmlns:mc="http://schemas.openxmlformats.org/markup-compatibility/2006">
      <mc:Choice Requires="x14">
        <control shapeId="11328" r:id="rId6" name="tab_chart">
          <controlPr defaultSize="0" autoLine="0" r:id="rId7">
            <anchor moveWithCells="1">
              <from>
                <xdr:col>6</xdr:col>
                <xdr:colOff>742950</xdr:colOff>
                <xdr:row>0</xdr:row>
                <xdr:rowOff>57150</xdr:rowOff>
              </from>
              <to>
                <xdr:col>6</xdr:col>
                <xdr:colOff>1266825</xdr:colOff>
                <xdr:row>0</xdr:row>
                <xdr:rowOff>323850</xdr:rowOff>
              </to>
            </anchor>
          </controlPr>
        </control>
      </mc:Choice>
      <mc:Fallback>
        <control shapeId="11328" r:id="rId6" name="tab_chart"/>
      </mc:Fallback>
    </mc:AlternateContent>
    <mc:AlternateContent xmlns:mc="http://schemas.openxmlformats.org/markup-compatibility/2006">
      <mc:Choice Requires="x14">
        <control shapeId="11325" r:id="rId8" name="submit_strategis">
          <controlPr defaultSize="0" autoLine="0" r:id="rId9">
            <anchor moveWithCells="1">
              <from>
                <xdr:col>9</xdr:col>
                <xdr:colOff>419100</xdr:colOff>
                <xdr:row>2</xdr:row>
                <xdr:rowOff>152400</xdr:rowOff>
              </from>
              <to>
                <xdr:col>10</xdr:col>
                <xdr:colOff>704850</xdr:colOff>
                <xdr:row>4</xdr:row>
                <xdr:rowOff>38100</xdr:rowOff>
              </to>
            </anchor>
          </controlPr>
        </control>
      </mc:Choice>
      <mc:Fallback>
        <control shapeId="11325" r:id="rId8" name="submit_strategis"/>
      </mc:Fallback>
    </mc:AlternateContent>
    <mc:AlternateContent xmlns:mc="http://schemas.openxmlformats.org/markup-compatibility/2006">
      <mc:Choice Requires="x14">
        <control shapeId="11324" r:id="rId10" name="clear_filter_strategis">
          <controlPr defaultSize="0" autoLine="0" r:id="rId11">
            <anchor moveWithCells="1">
              <from>
                <xdr:col>3</xdr:col>
                <xdr:colOff>1847850</xdr:colOff>
                <xdr:row>3</xdr:row>
                <xdr:rowOff>38100</xdr:rowOff>
              </from>
              <to>
                <xdr:col>4</xdr:col>
                <xdr:colOff>666750</xdr:colOff>
                <xdr:row>4</xdr:row>
                <xdr:rowOff>133350</xdr:rowOff>
              </to>
            </anchor>
          </controlPr>
        </control>
      </mc:Choice>
      <mc:Fallback>
        <control shapeId="11324" r:id="rId10" name="clear_filter_strategis"/>
      </mc:Fallback>
    </mc:AlternateContent>
    <mc:AlternateContent xmlns:mc="http://schemas.openxmlformats.org/markup-compatibility/2006">
      <mc:Choice Requires="x14">
        <control shapeId="11323" r:id="rId12" name="filter_blank_strategis">
          <controlPr defaultSize="0" autoLine="0" r:id="rId13">
            <anchor moveWithCells="1">
              <from>
                <xdr:col>4</xdr:col>
                <xdr:colOff>800100</xdr:colOff>
                <xdr:row>3</xdr:row>
                <xdr:rowOff>38100</xdr:rowOff>
              </from>
              <to>
                <xdr:col>5</xdr:col>
                <xdr:colOff>733425</xdr:colOff>
                <xdr:row>4</xdr:row>
                <xdr:rowOff>133350</xdr:rowOff>
              </to>
            </anchor>
          </controlPr>
        </control>
      </mc:Choice>
      <mc:Fallback>
        <control shapeId="11323" r:id="rId12" name="filter_blank_strategis"/>
      </mc:Fallback>
    </mc:AlternateContent>
    <mc:AlternateContent xmlns:mc="http://schemas.openxmlformats.org/markup-compatibility/2006">
      <mc:Choice Requires="x14">
        <control shapeId="11322" r:id="rId14" name="filter_indikator_strategis">
          <controlPr defaultSize="0" autoLine="0" r:id="rId15">
            <anchor moveWithCells="1">
              <from>
                <xdr:col>3</xdr:col>
                <xdr:colOff>466725</xdr:colOff>
                <xdr:row>3</xdr:row>
                <xdr:rowOff>38100</xdr:rowOff>
              </from>
              <to>
                <xdr:col>3</xdr:col>
                <xdr:colOff>1704975</xdr:colOff>
                <xdr:row>4</xdr:row>
                <xdr:rowOff>133350</xdr:rowOff>
              </to>
            </anchor>
          </controlPr>
        </control>
      </mc:Choice>
      <mc:Fallback>
        <control shapeId="11322" r:id="rId14" name="filter_indikator_strategis"/>
      </mc:Fallback>
    </mc:AlternateContent>
    <mc:AlternateContent xmlns:mc="http://schemas.openxmlformats.org/markup-compatibility/2006">
      <mc:Choice Requires="x14">
        <control shapeId="11321" r:id="rId16" name="filter_peringkat_strategis">
          <controlPr defaultSize="0" autoLine="0" r:id="rId17">
            <anchor moveWithCells="1">
              <from>
                <xdr:col>2</xdr:col>
                <xdr:colOff>266700</xdr:colOff>
                <xdr:row>3</xdr:row>
                <xdr:rowOff>38100</xdr:rowOff>
              </from>
              <to>
                <xdr:col>3</xdr:col>
                <xdr:colOff>361950</xdr:colOff>
                <xdr:row>4</xdr:row>
                <xdr:rowOff>133350</xdr:rowOff>
              </to>
            </anchor>
          </controlPr>
        </control>
      </mc:Choice>
      <mc:Fallback>
        <control shapeId="11321" r:id="rId16" name="filter_peringkat_strategis"/>
      </mc:Fallback>
    </mc:AlternateContent>
    <mc:AlternateContent xmlns:mc="http://schemas.openxmlformats.org/markup-compatibility/2006">
      <mc:Choice Requires="x14">
        <control shapeId="11320" r:id="rId18" name="kpmr_strategis">
          <controlPr defaultSize="0" autoLine="0" r:id="rId19">
            <anchor moveWithCells="1">
              <from>
                <xdr:col>0</xdr:col>
                <xdr:colOff>66675</xdr:colOff>
                <xdr:row>3</xdr:row>
                <xdr:rowOff>38100</xdr:rowOff>
              </from>
              <to>
                <xdr:col>2</xdr:col>
                <xdr:colOff>171450</xdr:colOff>
                <xdr:row>4</xdr:row>
                <xdr:rowOff>133350</xdr:rowOff>
              </to>
            </anchor>
          </controlPr>
        </control>
      </mc:Choice>
      <mc:Fallback>
        <control shapeId="11320" r:id="rId18" name="kpmr_strategis"/>
      </mc:Fallback>
    </mc:AlternateContent>
    <mc:AlternateContent xmlns:mc="http://schemas.openxmlformats.org/markup-compatibility/2006">
      <mc:Choice Requires="x14">
        <control shapeId="11319" r:id="rId20" name="pilih_periode_strategis">
          <controlPr defaultSize="0" autoLine="0" r:id="rId21">
            <anchor moveWithCells="1">
              <from>
                <xdr:col>4</xdr:col>
                <xdr:colOff>9525</xdr:colOff>
                <xdr:row>1</xdr:row>
                <xdr:rowOff>9525</xdr:rowOff>
              </from>
              <to>
                <xdr:col>4</xdr:col>
                <xdr:colOff>800100</xdr:colOff>
                <xdr:row>2</xdr:row>
                <xdr:rowOff>9525</xdr:rowOff>
              </to>
            </anchor>
          </controlPr>
        </control>
      </mc:Choice>
      <mc:Fallback>
        <control shapeId="11319" r:id="rId20" name="pilih_periode_strategis"/>
      </mc:Fallback>
    </mc:AlternateContent>
    <mc:AlternateContent xmlns:mc="http://schemas.openxmlformats.org/markup-compatibility/2006">
      <mc:Choice Requires="x14">
        <control shapeId="11317" r:id="rId22" name="tab_main_menu">
          <controlPr defaultSize="0" autoLine="0" r:id="rId23">
            <anchor moveWithCells="1">
              <from>
                <xdr:col>0</xdr:col>
                <xdr:colOff>85725</xdr:colOff>
                <xdr:row>0</xdr:row>
                <xdr:rowOff>57150</xdr:rowOff>
              </from>
              <to>
                <xdr:col>2</xdr:col>
                <xdr:colOff>276225</xdr:colOff>
                <xdr:row>0</xdr:row>
                <xdr:rowOff>323850</xdr:rowOff>
              </to>
            </anchor>
          </controlPr>
        </control>
      </mc:Choice>
      <mc:Fallback>
        <control shapeId="11317" r:id="rId22" name="tab_main_menu"/>
      </mc:Fallback>
    </mc:AlternateContent>
  </controls>
  <tableParts count="1">
    <tablePart r:id="rId2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K50"/>
  <sheetViews>
    <sheetView showGridLines="0" workbookViewId="0">
      <pane ySplit="6" topLeftCell="A7" activePane="bottomLeft" state="frozen"/>
      <selection pane="bottomLeft" activeCell="J8" sqref="J8"/>
    </sheetView>
  </sheetViews>
  <sheetFormatPr defaultRowHeight="15" x14ac:dyDescent="0.25"/>
  <cols>
    <col min="1" max="1" width="10.140625" customWidth="1"/>
    <col min="2" max="2" width="17" hidden="1" customWidth="1"/>
    <col min="3" max="3" width="17.85546875" bestFit="1" customWidth="1"/>
    <col min="4" max="4" width="35.5703125" customWidth="1"/>
    <col min="5" max="5" width="17.85546875" bestFit="1" customWidth="1"/>
    <col min="6" max="6" width="21.42578125" customWidth="1"/>
    <col min="7" max="7" width="19.140625" bestFit="1" customWidth="1"/>
    <col min="8" max="8" width="21.7109375" customWidth="1"/>
    <col min="9" max="9" width="19.85546875" customWidth="1"/>
    <col min="10" max="10" width="9.28515625" customWidth="1"/>
    <col min="11" max="11" width="10.7109375" bestFit="1" customWidth="1"/>
  </cols>
  <sheetData>
    <row r="1" spans="1:11" ht="26.25" x14ac:dyDescent="0.4">
      <c r="E1" s="87" t="s">
        <v>139</v>
      </c>
      <c r="F1" s="87"/>
      <c r="G1" s="87"/>
      <c r="H1" s="3"/>
    </row>
    <row r="2" spans="1:11" ht="18.75" x14ac:dyDescent="0.25">
      <c r="E2" s="88">
        <v>44562</v>
      </c>
      <c r="F2" s="89"/>
      <c r="G2" s="89"/>
    </row>
    <row r="4" spans="1:11" x14ac:dyDescent="0.25">
      <c r="I4" s="49" t="str">
        <f>IF(COUNTBLANK($J$7:$J50)&gt;0,"Data belum komplit", "Data komplit")</f>
        <v>Data belum komplit</v>
      </c>
      <c r="J4" s="47"/>
    </row>
    <row r="5" spans="1:11" x14ac:dyDescent="0.25">
      <c r="I5" s="48"/>
    </row>
    <row r="6" spans="1:11" ht="30" x14ac:dyDescent="0.25">
      <c r="A6" s="28" t="s">
        <v>83</v>
      </c>
      <c r="B6" s="29" t="s">
        <v>14</v>
      </c>
      <c r="C6" s="28" t="s">
        <v>373</v>
      </c>
      <c r="D6" s="30" t="s">
        <v>382</v>
      </c>
      <c r="E6" s="30" t="s">
        <v>375</v>
      </c>
      <c r="F6" s="30" t="s">
        <v>556</v>
      </c>
      <c r="G6" s="30" t="s">
        <v>377</v>
      </c>
      <c r="H6" s="30" t="s">
        <v>378</v>
      </c>
      <c r="I6" s="30" t="s">
        <v>379</v>
      </c>
      <c r="J6" s="30" t="s">
        <v>357</v>
      </c>
      <c r="K6" s="30" t="s">
        <v>13</v>
      </c>
    </row>
    <row r="7" spans="1:11" ht="75" x14ac:dyDescent="0.25">
      <c r="A7" t="s">
        <v>445</v>
      </c>
      <c r="B7" t="s">
        <v>360</v>
      </c>
      <c r="C7" t="s">
        <v>372</v>
      </c>
      <c r="D7" s="1" t="s">
        <v>42</v>
      </c>
      <c r="E7" s="1" t="s">
        <v>36</v>
      </c>
      <c r="F7" s="1" t="s">
        <v>37</v>
      </c>
      <c r="G7" s="1" t="s">
        <v>38</v>
      </c>
      <c r="H7" s="1" t="s">
        <v>39</v>
      </c>
      <c r="I7" s="1" t="s">
        <v>40</v>
      </c>
      <c r="J7" s="65">
        <v>3</v>
      </c>
      <c r="K7" s="32">
        <v>44562</v>
      </c>
    </row>
    <row r="8" spans="1:11" ht="105" x14ac:dyDescent="0.25">
      <c r="A8" t="s">
        <v>446</v>
      </c>
      <c r="B8" t="s">
        <v>360</v>
      </c>
      <c r="C8" t="s">
        <v>372</v>
      </c>
      <c r="D8" s="1" t="s">
        <v>140</v>
      </c>
      <c r="E8" s="1" t="s">
        <v>43</v>
      </c>
      <c r="F8" s="1" t="s">
        <v>44</v>
      </c>
      <c r="G8" s="1" t="s">
        <v>45</v>
      </c>
      <c r="H8" s="1" t="s">
        <v>64</v>
      </c>
      <c r="I8" s="1" t="s">
        <v>65</v>
      </c>
      <c r="J8" s="65"/>
      <c r="K8" s="32">
        <v>44562</v>
      </c>
    </row>
    <row r="9" spans="1:11" ht="105" x14ac:dyDescent="0.25">
      <c r="A9" t="s">
        <v>447</v>
      </c>
      <c r="B9" t="s">
        <v>360</v>
      </c>
      <c r="C9" t="s">
        <v>372</v>
      </c>
      <c r="D9" s="1" t="s">
        <v>141</v>
      </c>
      <c r="E9" s="1" t="s">
        <v>52</v>
      </c>
      <c r="F9" s="1" t="s">
        <v>51</v>
      </c>
      <c r="G9" s="1" t="s">
        <v>50</v>
      </c>
      <c r="H9" s="1" t="s">
        <v>49</v>
      </c>
      <c r="I9" s="1" t="s">
        <v>48</v>
      </c>
      <c r="J9" s="65"/>
      <c r="K9" s="32">
        <v>44562</v>
      </c>
    </row>
    <row r="10" spans="1:11" ht="135" x14ac:dyDescent="0.25">
      <c r="A10" t="s">
        <v>448</v>
      </c>
      <c r="B10" t="s">
        <v>360</v>
      </c>
      <c r="C10" t="s">
        <v>372</v>
      </c>
      <c r="D10" s="1" t="s">
        <v>55</v>
      </c>
      <c r="E10" s="1" t="s">
        <v>34</v>
      </c>
      <c r="F10" s="1" t="s">
        <v>54</v>
      </c>
      <c r="G10" s="1" t="s">
        <v>53</v>
      </c>
      <c r="H10" s="1" t="s">
        <v>56</v>
      </c>
      <c r="I10" s="1" t="s">
        <v>57</v>
      </c>
      <c r="J10" s="65"/>
      <c r="K10" s="32">
        <v>44562</v>
      </c>
    </row>
    <row r="11" spans="1:11" ht="135" x14ac:dyDescent="0.25">
      <c r="A11" t="s">
        <v>449</v>
      </c>
      <c r="B11" t="s">
        <v>360</v>
      </c>
      <c r="C11" t="s">
        <v>372</v>
      </c>
      <c r="D11" s="1" t="s">
        <v>142</v>
      </c>
      <c r="E11" s="1" t="s">
        <v>58</v>
      </c>
      <c r="F11" s="1" t="s">
        <v>60</v>
      </c>
      <c r="G11" s="1" t="s">
        <v>61</v>
      </c>
      <c r="H11" s="1" t="s">
        <v>62</v>
      </c>
      <c r="I11" s="1" t="s">
        <v>63</v>
      </c>
      <c r="J11" s="65"/>
      <c r="K11" s="32">
        <v>44562</v>
      </c>
    </row>
    <row r="12" spans="1:11" ht="75" x14ac:dyDescent="0.25">
      <c r="A12" t="s">
        <v>450</v>
      </c>
      <c r="B12" t="s">
        <v>360</v>
      </c>
      <c r="C12" t="s">
        <v>372</v>
      </c>
      <c r="D12" s="1" t="s">
        <v>68</v>
      </c>
      <c r="E12" s="1" t="s">
        <v>69</v>
      </c>
      <c r="F12" s="1" t="s">
        <v>70</v>
      </c>
      <c r="G12" s="1" t="s">
        <v>66</v>
      </c>
      <c r="H12" s="1" t="s">
        <v>67</v>
      </c>
      <c r="I12" s="1" t="s">
        <v>71</v>
      </c>
      <c r="J12" s="65"/>
      <c r="K12" s="32">
        <v>44562</v>
      </c>
    </row>
    <row r="13" spans="1:11" ht="75" x14ac:dyDescent="0.25">
      <c r="A13" t="s">
        <v>451</v>
      </c>
      <c r="B13" t="s">
        <v>360</v>
      </c>
      <c r="C13" t="s">
        <v>372</v>
      </c>
      <c r="D13" s="1" t="s">
        <v>143</v>
      </c>
      <c r="E13" s="1" t="s">
        <v>73</v>
      </c>
      <c r="F13" s="1" t="s">
        <v>74</v>
      </c>
      <c r="G13" s="1" t="s">
        <v>75</v>
      </c>
      <c r="H13" s="1" t="s">
        <v>76</v>
      </c>
      <c r="I13" s="1" t="s">
        <v>77</v>
      </c>
      <c r="J13" s="65"/>
      <c r="K13" s="32">
        <v>44562</v>
      </c>
    </row>
    <row r="14" spans="1:11" ht="150" x14ac:dyDescent="0.25">
      <c r="A14" t="s">
        <v>452</v>
      </c>
      <c r="B14" t="s">
        <v>360</v>
      </c>
      <c r="C14" t="s">
        <v>372</v>
      </c>
      <c r="D14" s="1" t="s">
        <v>144</v>
      </c>
      <c r="E14" s="1" t="s">
        <v>145</v>
      </c>
      <c r="F14" s="1" t="s">
        <v>165</v>
      </c>
      <c r="G14" s="1" t="s">
        <v>80</v>
      </c>
      <c r="H14" s="1" t="s">
        <v>81</v>
      </c>
      <c r="I14" s="1" t="s">
        <v>82</v>
      </c>
      <c r="J14" s="65"/>
      <c r="K14" s="32">
        <v>44562</v>
      </c>
    </row>
    <row r="15" spans="1:11" ht="75" x14ac:dyDescent="0.25">
      <c r="A15" t="s">
        <v>453</v>
      </c>
      <c r="B15" t="s">
        <v>360</v>
      </c>
      <c r="C15" t="s">
        <v>372</v>
      </c>
      <c r="D15" s="1" t="s">
        <v>146</v>
      </c>
      <c r="E15" s="1" t="s">
        <v>34</v>
      </c>
      <c r="F15" s="1" t="s">
        <v>35</v>
      </c>
      <c r="G15" s="1" t="s">
        <v>86</v>
      </c>
      <c r="H15" s="1" t="s">
        <v>87</v>
      </c>
      <c r="I15" s="1" t="s">
        <v>88</v>
      </c>
      <c r="J15" s="65"/>
      <c r="K15" s="32">
        <v>44562</v>
      </c>
    </row>
    <row r="16" spans="1:11" ht="30" x14ac:dyDescent="0.25">
      <c r="A16" t="s">
        <v>454</v>
      </c>
      <c r="B16" t="s">
        <v>360</v>
      </c>
      <c r="C16" t="s">
        <v>372</v>
      </c>
      <c r="D16" s="9" t="s">
        <v>147</v>
      </c>
      <c r="E16" s="1" t="s">
        <v>148</v>
      </c>
      <c r="F16" s="1" t="s">
        <v>149</v>
      </c>
      <c r="G16" s="1" t="s">
        <v>150</v>
      </c>
      <c r="H16" s="1" t="s">
        <v>151</v>
      </c>
      <c r="I16" s="1" t="s">
        <v>152</v>
      </c>
      <c r="J16" s="65"/>
      <c r="K16" s="32">
        <v>44562</v>
      </c>
    </row>
    <row r="17" spans="1:11" ht="165" x14ac:dyDescent="0.25">
      <c r="A17" t="s">
        <v>455</v>
      </c>
      <c r="B17" t="s">
        <v>360</v>
      </c>
      <c r="C17" t="s">
        <v>372</v>
      </c>
      <c r="D17" s="1" t="s">
        <v>154</v>
      </c>
      <c r="E17" s="1" t="s">
        <v>153</v>
      </c>
      <c r="F17" s="1" t="s">
        <v>155</v>
      </c>
      <c r="G17" s="1" t="s">
        <v>91</v>
      </c>
      <c r="H17" s="1" t="s">
        <v>92</v>
      </c>
      <c r="I17" s="1" t="s">
        <v>93</v>
      </c>
      <c r="J17" s="65"/>
      <c r="K17" s="32">
        <v>44562</v>
      </c>
    </row>
    <row r="18" spans="1:11" ht="60" x14ac:dyDescent="0.25">
      <c r="A18" t="s">
        <v>456</v>
      </c>
      <c r="B18" t="s">
        <v>360</v>
      </c>
      <c r="C18" t="s">
        <v>372</v>
      </c>
      <c r="D18" s="1" t="s">
        <v>156</v>
      </c>
      <c r="E18" s="1" t="s">
        <v>34</v>
      </c>
      <c r="F18" s="1" t="s">
        <v>35</v>
      </c>
      <c r="G18" s="1" t="s">
        <v>86</v>
      </c>
      <c r="H18" s="1" t="s">
        <v>87</v>
      </c>
      <c r="I18" s="1" t="s">
        <v>88</v>
      </c>
      <c r="J18" s="65"/>
      <c r="K18" s="32">
        <v>44562</v>
      </c>
    </row>
    <row r="19" spans="1:11" ht="60" x14ac:dyDescent="0.25">
      <c r="A19" t="s">
        <v>457</v>
      </c>
      <c r="B19" t="s">
        <v>360</v>
      </c>
      <c r="C19" t="s">
        <v>372</v>
      </c>
      <c r="D19" s="1" t="s">
        <v>157</v>
      </c>
      <c r="E19" s="1" t="s">
        <v>95</v>
      </c>
      <c r="F19" s="1" t="s">
        <v>97</v>
      </c>
      <c r="G19" s="1" t="s">
        <v>98</v>
      </c>
      <c r="H19" s="1" t="s">
        <v>99</v>
      </c>
      <c r="I19" s="1" t="s">
        <v>100</v>
      </c>
      <c r="J19" s="65"/>
      <c r="K19" s="32">
        <v>44562</v>
      </c>
    </row>
    <row r="20" spans="1:11" ht="180" x14ac:dyDescent="0.25">
      <c r="A20" t="s">
        <v>458</v>
      </c>
      <c r="B20" t="s">
        <v>360</v>
      </c>
      <c r="C20" t="s">
        <v>372</v>
      </c>
      <c r="D20" s="1" t="s">
        <v>101</v>
      </c>
      <c r="E20" s="1" t="s">
        <v>102</v>
      </c>
      <c r="F20" s="1" t="s">
        <v>103</v>
      </c>
      <c r="G20" s="1" t="s">
        <v>104</v>
      </c>
      <c r="H20" s="1" t="s">
        <v>105</v>
      </c>
      <c r="I20" s="1" t="s">
        <v>106</v>
      </c>
      <c r="J20" s="65"/>
      <c r="K20" s="32">
        <v>44562</v>
      </c>
    </row>
    <row r="21" spans="1:11" ht="90" x14ac:dyDescent="0.25">
      <c r="A21" t="s">
        <v>459</v>
      </c>
      <c r="B21" t="s">
        <v>360</v>
      </c>
      <c r="C21" t="s">
        <v>372</v>
      </c>
      <c r="D21" s="1" t="s">
        <v>109</v>
      </c>
      <c r="E21" s="1" t="s">
        <v>107</v>
      </c>
      <c r="F21" s="1" t="s">
        <v>108</v>
      </c>
      <c r="G21" s="1" t="s">
        <v>110</v>
      </c>
      <c r="H21" s="1" t="s">
        <v>111</v>
      </c>
      <c r="I21" s="1" t="s">
        <v>112</v>
      </c>
      <c r="J21" s="65"/>
      <c r="K21" s="32">
        <v>44562</v>
      </c>
    </row>
    <row r="22" spans="1:11" ht="45" x14ac:dyDescent="0.25">
      <c r="A22" t="s">
        <v>460</v>
      </c>
      <c r="B22" t="s">
        <v>360</v>
      </c>
      <c r="C22" t="s">
        <v>372</v>
      </c>
      <c r="D22" s="1" t="s">
        <v>113</v>
      </c>
      <c r="E22" s="1" t="s">
        <v>34</v>
      </c>
      <c r="F22" s="1" t="s">
        <v>35</v>
      </c>
      <c r="G22" s="1" t="s">
        <v>86</v>
      </c>
      <c r="H22" s="1" t="s">
        <v>87</v>
      </c>
      <c r="I22" s="1" t="s">
        <v>114</v>
      </c>
      <c r="J22" s="65"/>
      <c r="K22" s="32">
        <v>44562</v>
      </c>
    </row>
    <row r="23" spans="1:11" ht="240" x14ac:dyDescent="0.25">
      <c r="A23" t="s">
        <v>439</v>
      </c>
      <c r="B23" t="s">
        <v>367</v>
      </c>
      <c r="C23" t="s">
        <v>371</v>
      </c>
      <c r="D23" s="1" t="s">
        <v>199</v>
      </c>
      <c r="E23" s="1" t="s">
        <v>200</v>
      </c>
      <c r="F23" s="1" t="s">
        <v>234</v>
      </c>
      <c r="G23" s="1" t="s">
        <v>201</v>
      </c>
      <c r="H23" s="1" t="s">
        <v>202</v>
      </c>
      <c r="I23" s="1" t="s">
        <v>203</v>
      </c>
      <c r="J23" s="65"/>
      <c r="K23" s="32">
        <v>44562</v>
      </c>
    </row>
    <row r="24" spans="1:11" ht="60" x14ac:dyDescent="0.25">
      <c r="A24" t="s">
        <v>440</v>
      </c>
      <c r="B24" t="s">
        <v>367</v>
      </c>
      <c r="C24" t="s">
        <v>371</v>
      </c>
      <c r="D24" s="1" t="s">
        <v>228</v>
      </c>
      <c r="E24" s="1" t="s">
        <v>229</v>
      </c>
      <c r="F24" s="1" t="s">
        <v>230</v>
      </c>
      <c r="G24" s="1" t="s">
        <v>231</v>
      </c>
      <c r="H24" s="1" t="s">
        <v>232</v>
      </c>
      <c r="I24" s="1" t="s">
        <v>233</v>
      </c>
      <c r="J24" s="65"/>
      <c r="K24" s="32">
        <v>44562</v>
      </c>
    </row>
    <row r="25" spans="1:11" ht="105" x14ac:dyDescent="0.25">
      <c r="A25" t="s">
        <v>441</v>
      </c>
      <c r="B25" s="1" t="s">
        <v>367</v>
      </c>
      <c r="C25" t="s">
        <v>371</v>
      </c>
      <c r="D25" s="1" t="s">
        <v>222</v>
      </c>
      <c r="E25" s="1" t="s">
        <v>223</v>
      </c>
      <c r="F25" s="1" t="s">
        <v>224</v>
      </c>
      <c r="G25" s="1" t="s">
        <v>225</v>
      </c>
      <c r="H25" s="1" t="s">
        <v>226</v>
      </c>
      <c r="I25" s="1" t="s">
        <v>227</v>
      </c>
      <c r="J25" s="65"/>
      <c r="K25" s="32">
        <v>44562</v>
      </c>
    </row>
    <row r="26" spans="1:11" ht="45" x14ac:dyDescent="0.25">
      <c r="A26" t="s">
        <v>442</v>
      </c>
      <c r="B26" t="s">
        <v>367</v>
      </c>
      <c r="C26" t="s">
        <v>371</v>
      </c>
      <c r="D26" s="1" t="s">
        <v>216</v>
      </c>
      <c r="E26" s="1" t="s">
        <v>217</v>
      </c>
      <c r="F26" s="1" t="s">
        <v>218</v>
      </c>
      <c r="G26" s="1" t="s">
        <v>219</v>
      </c>
      <c r="H26" s="1" t="s">
        <v>220</v>
      </c>
      <c r="I26" s="1" t="s">
        <v>221</v>
      </c>
      <c r="J26" s="65"/>
      <c r="K26" s="32">
        <v>44562</v>
      </c>
    </row>
    <row r="27" spans="1:11" ht="45" x14ac:dyDescent="0.25">
      <c r="A27" t="s">
        <v>443</v>
      </c>
      <c r="B27" t="s">
        <v>367</v>
      </c>
      <c r="C27" t="s">
        <v>371</v>
      </c>
      <c r="D27" s="1" t="s">
        <v>204</v>
      </c>
      <c r="E27" s="1" t="s">
        <v>205</v>
      </c>
      <c r="F27" s="1" t="s">
        <v>206</v>
      </c>
      <c r="G27" s="1" t="s">
        <v>207</v>
      </c>
      <c r="H27" s="1" t="s">
        <v>208</v>
      </c>
      <c r="I27" s="1" t="s">
        <v>209</v>
      </c>
      <c r="J27" s="65"/>
      <c r="K27" s="32">
        <v>44562</v>
      </c>
    </row>
    <row r="28" spans="1:11" ht="60" x14ac:dyDescent="0.25">
      <c r="A28" t="s">
        <v>444</v>
      </c>
      <c r="B28" t="s">
        <v>367</v>
      </c>
      <c r="C28" t="s">
        <v>371</v>
      </c>
      <c r="D28" s="1" t="s">
        <v>210</v>
      </c>
      <c r="E28" s="1" t="s">
        <v>211</v>
      </c>
      <c r="F28" s="1" t="s">
        <v>212</v>
      </c>
      <c r="G28" s="1" t="s">
        <v>213</v>
      </c>
      <c r="H28" s="1" t="s">
        <v>214</v>
      </c>
      <c r="I28" s="1" t="s">
        <v>215</v>
      </c>
      <c r="J28" s="65"/>
      <c r="K28" s="32">
        <v>44562</v>
      </c>
    </row>
    <row r="29" spans="1:11" ht="30" x14ac:dyDescent="0.25">
      <c r="A29" t="s">
        <v>417</v>
      </c>
      <c r="B29" s="1" t="s">
        <v>367</v>
      </c>
      <c r="C29" s="13" t="s">
        <v>374</v>
      </c>
      <c r="D29" s="1" t="s">
        <v>298</v>
      </c>
      <c r="E29" s="1"/>
      <c r="F29" s="1"/>
      <c r="G29" s="1"/>
      <c r="H29" s="1"/>
      <c r="I29" s="1"/>
      <c r="J29" s="65"/>
      <c r="K29" s="32">
        <v>44562</v>
      </c>
    </row>
    <row r="30" spans="1:11" ht="30" x14ac:dyDescent="0.25">
      <c r="A30" t="s">
        <v>418</v>
      </c>
      <c r="B30" s="1" t="s">
        <v>367</v>
      </c>
      <c r="C30" s="13" t="s">
        <v>374</v>
      </c>
      <c r="D30" s="1" t="s">
        <v>299</v>
      </c>
      <c r="E30" s="1"/>
      <c r="F30" s="1"/>
      <c r="G30" s="1"/>
      <c r="H30" s="1"/>
      <c r="I30" s="1"/>
      <c r="J30" s="65"/>
      <c r="K30" s="32">
        <v>44562</v>
      </c>
    </row>
    <row r="31" spans="1:11" ht="30" x14ac:dyDescent="0.25">
      <c r="A31" t="s">
        <v>419</v>
      </c>
      <c r="B31" s="1" t="s">
        <v>367</v>
      </c>
      <c r="C31" s="13" t="s">
        <v>374</v>
      </c>
      <c r="D31" s="1" t="s">
        <v>300</v>
      </c>
      <c r="E31" s="1"/>
      <c r="F31" s="1"/>
      <c r="G31" s="1"/>
      <c r="H31" s="1"/>
      <c r="I31" s="1"/>
      <c r="J31" s="65"/>
      <c r="K31" s="32">
        <v>44562</v>
      </c>
    </row>
    <row r="32" spans="1:11" ht="30" x14ac:dyDescent="0.25">
      <c r="A32" t="s">
        <v>420</v>
      </c>
      <c r="B32" s="1" t="s">
        <v>367</v>
      </c>
      <c r="C32" s="13" t="s">
        <v>374</v>
      </c>
      <c r="D32" s="1" t="s">
        <v>301</v>
      </c>
      <c r="E32" s="1"/>
      <c r="F32" s="1"/>
      <c r="G32" s="1"/>
      <c r="H32" s="1"/>
      <c r="I32" s="1"/>
      <c r="J32" s="65"/>
      <c r="K32" s="32">
        <v>44562</v>
      </c>
    </row>
    <row r="33" spans="1:11" ht="30" x14ac:dyDescent="0.25">
      <c r="A33" t="s">
        <v>421</v>
      </c>
      <c r="B33" s="1" t="s">
        <v>367</v>
      </c>
      <c r="C33" s="13" t="s">
        <v>374</v>
      </c>
      <c r="D33" s="1" t="s">
        <v>302</v>
      </c>
      <c r="E33" s="1"/>
      <c r="F33" s="1"/>
      <c r="G33" s="1"/>
      <c r="H33" s="1"/>
      <c r="I33" s="1"/>
      <c r="J33" s="65"/>
      <c r="K33" s="32">
        <v>44562</v>
      </c>
    </row>
    <row r="34" spans="1:11" ht="30" x14ac:dyDescent="0.25">
      <c r="A34" t="s">
        <v>422</v>
      </c>
      <c r="B34" s="1" t="s">
        <v>367</v>
      </c>
      <c r="C34" s="13" t="s">
        <v>374</v>
      </c>
      <c r="D34" s="1" t="s">
        <v>303</v>
      </c>
      <c r="E34" s="1"/>
      <c r="F34" s="1"/>
      <c r="G34" s="1"/>
      <c r="H34" s="1"/>
      <c r="I34" s="1"/>
      <c r="J34" s="65"/>
      <c r="K34" s="32">
        <v>44562</v>
      </c>
    </row>
    <row r="35" spans="1:11" ht="30" x14ac:dyDescent="0.25">
      <c r="A35" t="s">
        <v>423</v>
      </c>
      <c r="B35" s="1" t="s">
        <v>367</v>
      </c>
      <c r="C35" s="13" t="s">
        <v>374</v>
      </c>
      <c r="D35" s="1" t="s">
        <v>304</v>
      </c>
      <c r="E35" s="1"/>
      <c r="F35" s="1"/>
      <c r="G35" s="1"/>
      <c r="H35" s="1"/>
      <c r="I35" s="1"/>
      <c r="J35" s="65"/>
      <c r="K35" s="32">
        <v>44562</v>
      </c>
    </row>
    <row r="36" spans="1:11" ht="30" x14ac:dyDescent="0.25">
      <c r="A36" t="s">
        <v>424</v>
      </c>
      <c r="B36" s="1" t="s">
        <v>367</v>
      </c>
      <c r="C36" s="13" t="s">
        <v>374</v>
      </c>
      <c r="D36" s="1" t="s">
        <v>305</v>
      </c>
      <c r="E36" s="1"/>
      <c r="F36" s="1"/>
      <c r="G36" s="1"/>
      <c r="H36" s="1"/>
      <c r="I36" s="1"/>
      <c r="J36" s="65"/>
      <c r="K36" s="32">
        <v>44562</v>
      </c>
    </row>
    <row r="37" spans="1:11" ht="30" x14ac:dyDescent="0.25">
      <c r="A37" t="s">
        <v>425</v>
      </c>
      <c r="B37" s="1" t="s">
        <v>367</v>
      </c>
      <c r="C37" s="13" t="s">
        <v>374</v>
      </c>
      <c r="D37" s="1" t="s">
        <v>306</v>
      </c>
      <c r="E37" s="1"/>
      <c r="F37" s="1"/>
      <c r="G37" s="1"/>
      <c r="H37" s="1"/>
      <c r="I37" s="1"/>
      <c r="J37" s="65"/>
      <c r="K37" s="32">
        <v>44562</v>
      </c>
    </row>
    <row r="38" spans="1:11" ht="45" x14ac:dyDescent="0.25">
      <c r="A38" t="s">
        <v>426</v>
      </c>
      <c r="B38" s="1" t="s">
        <v>367</v>
      </c>
      <c r="C38" s="13" t="s">
        <v>374</v>
      </c>
      <c r="D38" s="1" t="s">
        <v>307</v>
      </c>
      <c r="E38" s="1"/>
      <c r="F38" s="1"/>
      <c r="G38" s="1"/>
      <c r="H38" s="1"/>
      <c r="I38" s="1"/>
      <c r="J38" s="65"/>
      <c r="K38" s="32">
        <v>44562</v>
      </c>
    </row>
    <row r="39" spans="1:11" ht="30" x14ac:dyDescent="0.25">
      <c r="A39" t="s">
        <v>427</v>
      </c>
      <c r="B39" s="1" t="s">
        <v>367</v>
      </c>
      <c r="C39" s="13" t="s">
        <v>374</v>
      </c>
      <c r="D39" s="1" t="s">
        <v>308</v>
      </c>
      <c r="E39" s="1"/>
      <c r="F39" s="1"/>
      <c r="G39" s="1"/>
      <c r="H39" s="1"/>
      <c r="I39" s="1"/>
      <c r="J39" s="65"/>
      <c r="K39" s="32">
        <v>44562</v>
      </c>
    </row>
    <row r="40" spans="1:11" ht="30" x14ac:dyDescent="0.25">
      <c r="A40" t="s">
        <v>428</v>
      </c>
      <c r="B40" s="1" t="s">
        <v>367</v>
      </c>
      <c r="C40" s="13" t="s">
        <v>374</v>
      </c>
      <c r="D40" s="1" t="s">
        <v>309</v>
      </c>
      <c r="E40" s="1"/>
      <c r="F40" s="1"/>
      <c r="G40" s="1"/>
      <c r="H40" s="1"/>
      <c r="I40" s="1"/>
      <c r="J40" s="65"/>
      <c r="K40" s="32">
        <v>44562</v>
      </c>
    </row>
    <row r="41" spans="1:11" ht="30" x14ac:dyDescent="0.25">
      <c r="A41" t="s">
        <v>429</v>
      </c>
      <c r="B41" s="1" t="s">
        <v>367</v>
      </c>
      <c r="C41" s="13" t="s">
        <v>374</v>
      </c>
      <c r="D41" s="1" t="s">
        <v>310</v>
      </c>
      <c r="E41" s="1"/>
      <c r="F41" s="1"/>
      <c r="G41" s="1"/>
      <c r="H41" s="1"/>
      <c r="I41" s="1"/>
      <c r="J41" s="65"/>
      <c r="K41" s="32">
        <v>44562</v>
      </c>
    </row>
    <row r="42" spans="1:11" ht="60" x14ac:dyDescent="0.25">
      <c r="A42" t="s">
        <v>430</v>
      </c>
      <c r="B42" s="1" t="s">
        <v>367</v>
      </c>
      <c r="C42" s="13" t="s">
        <v>374</v>
      </c>
      <c r="D42" s="1" t="s">
        <v>311</v>
      </c>
      <c r="E42" s="1"/>
      <c r="F42" s="1"/>
      <c r="G42" s="1"/>
      <c r="H42" s="1"/>
      <c r="I42" s="1"/>
      <c r="J42" s="65"/>
      <c r="K42" s="32">
        <v>44562</v>
      </c>
    </row>
    <row r="43" spans="1:11" ht="45" x14ac:dyDescent="0.25">
      <c r="A43" t="s">
        <v>431</v>
      </c>
      <c r="B43" s="1" t="s">
        <v>367</v>
      </c>
      <c r="C43" s="13" t="s">
        <v>374</v>
      </c>
      <c r="D43" s="1" t="s">
        <v>312</v>
      </c>
      <c r="E43" s="1"/>
      <c r="F43" s="1"/>
      <c r="G43" s="1"/>
      <c r="H43" s="1"/>
      <c r="I43" s="1"/>
      <c r="J43" s="65"/>
      <c r="K43" s="32">
        <v>44562</v>
      </c>
    </row>
    <row r="44" spans="1:11" ht="30" x14ac:dyDescent="0.25">
      <c r="A44" t="s">
        <v>432</v>
      </c>
      <c r="B44" s="1" t="s">
        <v>367</v>
      </c>
      <c r="C44" s="13" t="s">
        <v>374</v>
      </c>
      <c r="D44" s="1" t="s">
        <v>313</v>
      </c>
      <c r="E44" s="1"/>
      <c r="F44" s="1"/>
      <c r="G44" s="1"/>
      <c r="H44" s="1"/>
      <c r="I44" s="1"/>
      <c r="J44" s="65"/>
      <c r="K44" s="32">
        <v>44562</v>
      </c>
    </row>
    <row r="45" spans="1:11" ht="30" x14ac:dyDescent="0.25">
      <c r="A45" t="s">
        <v>433</v>
      </c>
      <c r="B45" s="1" t="s">
        <v>367</v>
      </c>
      <c r="C45" s="13" t="s">
        <v>374</v>
      </c>
      <c r="D45" s="1" t="s">
        <v>314</v>
      </c>
      <c r="E45" s="1"/>
      <c r="F45" s="1"/>
      <c r="G45" s="1"/>
      <c r="H45" s="1"/>
      <c r="I45" s="1"/>
      <c r="J45" s="65"/>
      <c r="K45" s="32">
        <v>44562</v>
      </c>
    </row>
    <row r="46" spans="1:11" ht="30" x14ac:dyDescent="0.25">
      <c r="A46" t="s">
        <v>434</v>
      </c>
      <c r="B46" s="1" t="s">
        <v>367</v>
      </c>
      <c r="C46" s="13" t="s">
        <v>374</v>
      </c>
      <c r="D46" s="1" t="s">
        <v>315</v>
      </c>
      <c r="E46" s="1"/>
      <c r="F46" s="1"/>
      <c r="G46" s="1"/>
      <c r="H46" s="1"/>
      <c r="I46" s="1"/>
      <c r="J46" s="65"/>
      <c r="K46" s="32">
        <v>44562</v>
      </c>
    </row>
    <row r="47" spans="1:11" ht="30" x14ac:dyDescent="0.25">
      <c r="A47" t="s">
        <v>435</v>
      </c>
      <c r="B47" s="1" t="s">
        <v>367</v>
      </c>
      <c r="C47" s="13" t="s">
        <v>374</v>
      </c>
      <c r="D47" s="1" t="s">
        <v>316</v>
      </c>
      <c r="E47" s="1"/>
      <c r="F47" s="1"/>
      <c r="G47" s="1"/>
      <c r="H47" s="1"/>
      <c r="I47" s="1"/>
      <c r="J47" s="65"/>
      <c r="K47" s="32">
        <v>44562</v>
      </c>
    </row>
    <row r="48" spans="1:11" ht="30" x14ac:dyDescent="0.25">
      <c r="A48" t="s">
        <v>436</v>
      </c>
      <c r="B48" s="1" t="s">
        <v>367</v>
      </c>
      <c r="C48" s="13" t="s">
        <v>374</v>
      </c>
      <c r="D48" s="1" t="s">
        <v>317</v>
      </c>
      <c r="E48" s="1"/>
      <c r="F48" s="1"/>
      <c r="G48" s="1"/>
      <c r="H48" s="1"/>
      <c r="I48" s="1"/>
      <c r="J48" s="65"/>
      <c r="K48" s="32">
        <v>44562</v>
      </c>
    </row>
    <row r="49" spans="1:11" ht="30" x14ac:dyDescent="0.25">
      <c r="A49" t="s">
        <v>437</v>
      </c>
      <c r="B49" s="1" t="s">
        <v>367</v>
      </c>
      <c r="C49" s="13" t="s">
        <v>374</v>
      </c>
      <c r="D49" s="1" t="s">
        <v>319</v>
      </c>
      <c r="E49" s="1"/>
      <c r="F49" s="1"/>
      <c r="G49" s="1"/>
      <c r="H49" s="1"/>
      <c r="I49" s="1"/>
      <c r="J49" s="65"/>
      <c r="K49" s="32">
        <v>44562</v>
      </c>
    </row>
    <row r="50" spans="1:11" ht="30" x14ac:dyDescent="0.25">
      <c r="A50" t="s">
        <v>438</v>
      </c>
      <c r="B50" s="1" t="s">
        <v>367</v>
      </c>
      <c r="C50" s="13" t="s">
        <v>374</v>
      </c>
      <c r="D50" s="1" t="s">
        <v>318</v>
      </c>
      <c r="E50" s="1"/>
      <c r="F50" s="1"/>
      <c r="G50" s="1"/>
      <c r="H50" s="1"/>
      <c r="I50" s="1"/>
      <c r="J50" s="65"/>
      <c r="K50" s="32">
        <v>44562</v>
      </c>
    </row>
  </sheetData>
  <sheetProtection password="E0C0" sheet="1" objects="1" scenarios="1"/>
  <protectedRanges>
    <protectedRange sqref="J7:J50" name="tabel"/>
  </protectedRanges>
  <mergeCells count="2">
    <mergeCell ref="E1:G1"/>
    <mergeCell ref="E2:G2"/>
  </mergeCells>
  <conditionalFormatting sqref="J7:J50">
    <cfRule type="containsBlanks" dxfId="87" priority="4">
      <formula>LEN(TRIM(J7))=0</formula>
    </cfRule>
  </conditionalFormatting>
  <conditionalFormatting sqref="I4">
    <cfRule type="containsText" dxfId="86" priority="1" operator="containsText" text="Data komplit">
      <formula>NOT(ISERROR(SEARCH("Data komplit",I4)))</formula>
    </cfRule>
    <cfRule type="containsText" dxfId="85" priority="2" operator="containsText" text="Data belum komplit">
      <formula>NOT(ISERROR(SEARCH("Data belum komplit",I4)))</formula>
    </cfRule>
  </conditionalFormatting>
  <dataValidations count="2">
    <dataValidation type="list" allowBlank="1" showInputMessage="1" showErrorMessage="1" error="Hanya bisa diisi 1-5" promptTitle="Petunjuk" prompt="Isi angka 1-5" sqref="J7:J50">
      <formula1>"1,2,3,4,5"</formula1>
    </dataValidation>
    <dataValidation type="textLength" operator="equal" allowBlank="1" showInputMessage="1" showErrorMessage="1" errorTitle="Error" error="Tidak bisa input data di sini" promptTitle="Error" prompt="Tidak bisa input data di sini" sqref="J51:J100">
      <formula1>0</formula1>
    </dataValidation>
  </dataValidations>
  <pageMargins left="0.7" right="0.7" top="0.75" bottom="0.75" header="0.3" footer="0.3"/>
  <pageSetup paperSize="9" orientation="portrait" horizontalDpi="4294967292" verticalDpi="0" r:id="rId1"/>
  <drawing r:id="rId2"/>
  <legacyDrawing r:id="rId3"/>
  <controls>
    <mc:AlternateContent xmlns:mc="http://schemas.openxmlformats.org/markup-compatibility/2006">
      <mc:Choice Requires="x14">
        <control shapeId="20514" r:id="rId4" name="tab_grafik">
          <controlPr defaultSize="0" autoLine="0" r:id="rId5">
            <anchor moveWithCells="1">
              <from>
                <xdr:col>7</xdr:col>
                <xdr:colOff>85725</xdr:colOff>
                <xdr:row>0</xdr:row>
                <xdr:rowOff>57150</xdr:rowOff>
              </from>
              <to>
                <xdr:col>7</xdr:col>
                <xdr:colOff>771525</xdr:colOff>
                <xdr:row>0</xdr:row>
                <xdr:rowOff>323850</xdr:rowOff>
              </to>
            </anchor>
          </controlPr>
        </control>
      </mc:Choice>
      <mc:Fallback>
        <control shapeId="20514" r:id="rId4" name="tab_grafik"/>
      </mc:Fallback>
    </mc:AlternateContent>
    <mc:AlternateContent xmlns:mc="http://schemas.openxmlformats.org/markup-compatibility/2006">
      <mc:Choice Requires="x14">
        <control shapeId="20513" r:id="rId6" name="tab_chart">
          <controlPr defaultSize="0" autoLine="0" r:id="rId7">
            <anchor moveWithCells="1">
              <from>
                <xdr:col>6</xdr:col>
                <xdr:colOff>742950</xdr:colOff>
                <xdr:row>0</xdr:row>
                <xdr:rowOff>57150</xdr:rowOff>
              </from>
              <to>
                <xdr:col>6</xdr:col>
                <xdr:colOff>1266825</xdr:colOff>
                <xdr:row>0</xdr:row>
                <xdr:rowOff>323850</xdr:rowOff>
              </to>
            </anchor>
          </controlPr>
        </control>
      </mc:Choice>
      <mc:Fallback>
        <control shapeId="20513" r:id="rId6" name="tab_chart"/>
      </mc:Fallback>
    </mc:AlternateContent>
    <mc:AlternateContent xmlns:mc="http://schemas.openxmlformats.org/markup-compatibility/2006">
      <mc:Choice Requires="x14">
        <control shapeId="20511" r:id="rId8" name="submit_operasional">
          <controlPr defaultSize="0" autoLine="0" r:id="rId9">
            <anchor moveWithCells="1">
              <from>
                <xdr:col>9</xdr:col>
                <xdr:colOff>419100</xdr:colOff>
                <xdr:row>2</xdr:row>
                <xdr:rowOff>152400</xdr:rowOff>
              </from>
              <to>
                <xdr:col>10</xdr:col>
                <xdr:colOff>704850</xdr:colOff>
                <xdr:row>4</xdr:row>
                <xdr:rowOff>38100</xdr:rowOff>
              </to>
            </anchor>
          </controlPr>
        </control>
      </mc:Choice>
      <mc:Fallback>
        <control shapeId="20511" r:id="rId8" name="submit_operasional"/>
      </mc:Fallback>
    </mc:AlternateContent>
    <mc:AlternateContent xmlns:mc="http://schemas.openxmlformats.org/markup-compatibility/2006">
      <mc:Choice Requires="x14">
        <control shapeId="20510" r:id="rId10" name="clear_filter_operasional">
          <controlPr defaultSize="0" autoLine="0" r:id="rId11">
            <anchor moveWithCells="1">
              <from>
                <xdr:col>3</xdr:col>
                <xdr:colOff>1847850</xdr:colOff>
                <xdr:row>3</xdr:row>
                <xdr:rowOff>38100</xdr:rowOff>
              </from>
              <to>
                <xdr:col>4</xdr:col>
                <xdr:colOff>666750</xdr:colOff>
                <xdr:row>4</xdr:row>
                <xdr:rowOff>133350</xdr:rowOff>
              </to>
            </anchor>
          </controlPr>
        </control>
      </mc:Choice>
      <mc:Fallback>
        <control shapeId="20510" r:id="rId10" name="clear_filter_operasional"/>
      </mc:Fallback>
    </mc:AlternateContent>
    <mc:AlternateContent xmlns:mc="http://schemas.openxmlformats.org/markup-compatibility/2006">
      <mc:Choice Requires="x14">
        <control shapeId="20509" r:id="rId12" name="filter_blank_operasional">
          <controlPr defaultSize="0" autoLine="0" r:id="rId13">
            <anchor moveWithCells="1">
              <from>
                <xdr:col>4</xdr:col>
                <xdr:colOff>800100</xdr:colOff>
                <xdr:row>3</xdr:row>
                <xdr:rowOff>38100</xdr:rowOff>
              </from>
              <to>
                <xdr:col>5</xdr:col>
                <xdr:colOff>733425</xdr:colOff>
                <xdr:row>4</xdr:row>
                <xdr:rowOff>133350</xdr:rowOff>
              </to>
            </anchor>
          </controlPr>
        </control>
      </mc:Choice>
      <mc:Fallback>
        <control shapeId="20509" r:id="rId12" name="filter_blank_operasional"/>
      </mc:Fallback>
    </mc:AlternateContent>
    <mc:AlternateContent xmlns:mc="http://schemas.openxmlformats.org/markup-compatibility/2006">
      <mc:Choice Requires="x14">
        <control shapeId="20508" r:id="rId14" name="filter_indikator_operasional">
          <controlPr defaultSize="0" autoLine="0" r:id="rId15">
            <anchor moveWithCells="1">
              <from>
                <xdr:col>3</xdr:col>
                <xdr:colOff>466725</xdr:colOff>
                <xdr:row>3</xdr:row>
                <xdr:rowOff>38100</xdr:rowOff>
              </from>
              <to>
                <xdr:col>3</xdr:col>
                <xdr:colOff>1704975</xdr:colOff>
                <xdr:row>4</xdr:row>
                <xdr:rowOff>133350</xdr:rowOff>
              </to>
            </anchor>
          </controlPr>
        </control>
      </mc:Choice>
      <mc:Fallback>
        <control shapeId="20508" r:id="rId14" name="filter_indikator_operasional"/>
      </mc:Fallback>
    </mc:AlternateContent>
    <mc:AlternateContent xmlns:mc="http://schemas.openxmlformats.org/markup-compatibility/2006">
      <mc:Choice Requires="x14">
        <control shapeId="20507" r:id="rId16" name="filter_peringkat_operasional">
          <controlPr defaultSize="0" autoLine="0" r:id="rId17">
            <anchor moveWithCells="1">
              <from>
                <xdr:col>2</xdr:col>
                <xdr:colOff>266700</xdr:colOff>
                <xdr:row>3</xdr:row>
                <xdr:rowOff>38100</xdr:rowOff>
              </from>
              <to>
                <xdr:col>3</xdr:col>
                <xdr:colOff>361950</xdr:colOff>
                <xdr:row>4</xdr:row>
                <xdr:rowOff>133350</xdr:rowOff>
              </to>
            </anchor>
          </controlPr>
        </control>
      </mc:Choice>
      <mc:Fallback>
        <control shapeId="20507" r:id="rId16" name="filter_peringkat_operasional"/>
      </mc:Fallback>
    </mc:AlternateContent>
    <mc:AlternateContent xmlns:mc="http://schemas.openxmlformats.org/markup-compatibility/2006">
      <mc:Choice Requires="x14">
        <control shapeId="20506" r:id="rId18" name="kpmr_operasional">
          <controlPr defaultSize="0" autoLine="0" r:id="rId19">
            <anchor moveWithCells="1">
              <from>
                <xdr:col>0</xdr:col>
                <xdr:colOff>66675</xdr:colOff>
                <xdr:row>3</xdr:row>
                <xdr:rowOff>38100</xdr:rowOff>
              </from>
              <to>
                <xdr:col>2</xdr:col>
                <xdr:colOff>171450</xdr:colOff>
                <xdr:row>4</xdr:row>
                <xdr:rowOff>133350</xdr:rowOff>
              </to>
            </anchor>
          </controlPr>
        </control>
      </mc:Choice>
      <mc:Fallback>
        <control shapeId="20506" r:id="rId18" name="kpmr_operasional"/>
      </mc:Fallback>
    </mc:AlternateContent>
    <mc:AlternateContent xmlns:mc="http://schemas.openxmlformats.org/markup-compatibility/2006">
      <mc:Choice Requires="x14">
        <control shapeId="20505" r:id="rId20" name="pilih_periode_operasional">
          <controlPr defaultSize="0" autoLine="0" r:id="rId21">
            <anchor moveWithCells="1">
              <from>
                <xdr:col>4</xdr:col>
                <xdr:colOff>9525</xdr:colOff>
                <xdr:row>1</xdr:row>
                <xdr:rowOff>9525</xdr:rowOff>
              </from>
              <to>
                <xdr:col>4</xdr:col>
                <xdr:colOff>800100</xdr:colOff>
                <xdr:row>2</xdr:row>
                <xdr:rowOff>9525</xdr:rowOff>
              </to>
            </anchor>
          </controlPr>
        </control>
      </mc:Choice>
      <mc:Fallback>
        <control shapeId="20505" r:id="rId20" name="pilih_periode_operasional"/>
      </mc:Fallback>
    </mc:AlternateContent>
    <mc:AlternateContent xmlns:mc="http://schemas.openxmlformats.org/markup-compatibility/2006">
      <mc:Choice Requires="x14">
        <control shapeId="20504" r:id="rId22" name="tab_main_menu">
          <controlPr defaultSize="0" autoLine="0" r:id="rId23">
            <anchor moveWithCells="1">
              <from>
                <xdr:col>0</xdr:col>
                <xdr:colOff>85725</xdr:colOff>
                <xdr:row>0</xdr:row>
                <xdr:rowOff>57150</xdr:rowOff>
              </from>
              <to>
                <xdr:col>2</xdr:col>
                <xdr:colOff>276225</xdr:colOff>
                <xdr:row>0</xdr:row>
                <xdr:rowOff>323850</xdr:rowOff>
              </to>
            </anchor>
          </controlPr>
        </control>
      </mc:Choice>
      <mc:Fallback>
        <control shapeId="20504" r:id="rId22" name="tab_main_menu"/>
      </mc:Fallback>
    </mc:AlternateContent>
  </controls>
  <tableParts count="1">
    <tablePart r:id="rId2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K38"/>
  <sheetViews>
    <sheetView showGridLines="0" workbookViewId="0">
      <pane ySplit="6" topLeftCell="A37" activePane="bottomLeft" state="frozen"/>
      <selection pane="bottomLeft" activeCell="J7" sqref="J7:J38"/>
    </sheetView>
  </sheetViews>
  <sheetFormatPr defaultRowHeight="15" x14ac:dyDescent="0.25"/>
  <cols>
    <col min="1" max="1" width="10.140625" customWidth="1"/>
    <col min="2" max="2" width="17" hidden="1" customWidth="1"/>
    <col min="3" max="3" width="17.85546875" bestFit="1" customWidth="1"/>
    <col min="4" max="4" width="35.5703125" customWidth="1"/>
    <col min="5" max="5" width="17.85546875" bestFit="1" customWidth="1"/>
    <col min="6" max="6" width="21.42578125" customWidth="1"/>
    <col min="7" max="7" width="19.140625" bestFit="1" customWidth="1"/>
    <col min="8" max="8" width="21.7109375" customWidth="1"/>
    <col min="9" max="9" width="19.85546875" customWidth="1"/>
    <col min="10" max="10" width="9.28515625" customWidth="1"/>
    <col min="11" max="11" width="10.7109375" bestFit="1" customWidth="1"/>
  </cols>
  <sheetData>
    <row r="1" spans="1:11" ht="26.25" x14ac:dyDescent="0.4">
      <c r="E1" s="87" t="s">
        <v>295</v>
      </c>
      <c r="F1" s="87"/>
      <c r="G1" s="87"/>
      <c r="H1" s="3"/>
    </row>
    <row r="2" spans="1:11" ht="18.75" x14ac:dyDescent="0.25">
      <c r="E2" s="88">
        <v>44562</v>
      </c>
      <c r="F2" s="89"/>
      <c r="G2" s="89"/>
    </row>
    <row r="4" spans="1:11" x14ac:dyDescent="0.25">
      <c r="I4" s="49" t="str">
        <f>IF(COUNTBLANK($J$7:$J$38)&gt;0,"Data belum komplit", "Data komplit")</f>
        <v>Data belum komplit</v>
      </c>
      <c r="J4" s="47"/>
    </row>
    <row r="5" spans="1:11" x14ac:dyDescent="0.25">
      <c r="I5" s="48"/>
    </row>
    <row r="6" spans="1:11" ht="30" x14ac:dyDescent="0.25">
      <c r="A6" s="28" t="s">
        <v>83</v>
      </c>
      <c r="B6" s="29" t="s">
        <v>14</v>
      </c>
      <c r="C6" s="28" t="s">
        <v>373</v>
      </c>
      <c r="D6" s="30" t="s">
        <v>382</v>
      </c>
      <c r="E6" s="30" t="s">
        <v>375</v>
      </c>
      <c r="F6" s="30" t="s">
        <v>556</v>
      </c>
      <c r="G6" s="30" t="s">
        <v>377</v>
      </c>
      <c r="H6" s="30" t="s">
        <v>378</v>
      </c>
      <c r="I6" s="30" t="s">
        <v>379</v>
      </c>
      <c r="J6" s="30" t="s">
        <v>357</v>
      </c>
      <c r="K6" s="30" t="s">
        <v>13</v>
      </c>
    </row>
    <row r="7" spans="1:11" ht="75" x14ac:dyDescent="0.25">
      <c r="A7" t="s">
        <v>478</v>
      </c>
      <c r="B7" t="s">
        <v>361</v>
      </c>
      <c r="C7" t="s">
        <v>372</v>
      </c>
      <c r="D7" s="1" t="s">
        <v>42</v>
      </c>
      <c r="E7" s="1" t="s">
        <v>36</v>
      </c>
      <c r="F7" s="1" t="s">
        <v>37</v>
      </c>
      <c r="G7" s="1" t="s">
        <v>38</v>
      </c>
      <c r="H7" s="1" t="s">
        <v>39</v>
      </c>
      <c r="I7" s="1" t="s">
        <v>40</v>
      </c>
      <c r="J7" s="65"/>
      <c r="K7" s="32">
        <v>44562</v>
      </c>
    </row>
    <row r="8" spans="1:11" ht="105" x14ac:dyDescent="0.25">
      <c r="A8" t="s">
        <v>479</v>
      </c>
      <c r="B8" t="s">
        <v>361</v>
      </c>
      <c r="C8" t="s">
        <v>372</v>
      </c>
      <c r="D8" s="1" t="s">
        <v>158</v>
      </c>
      <c r="E8" s="1" t="s">
        <v>43</v>
      </c>
      <c r="F8" s="1" t="s">
        <v>44</v>
      </c>
      <c r="G8" s="1" t="s">
        <v>45</v>
      </c>
      <c r="H8" s="1" t="s">
        <v>64</v>
      </c>
      <c r="I8" s="1" t="s">
        <v>65</v>
      </c>
      <c r="J8" s="65"/>
      <c r="K8" s="32">
        <v>44562</v>
      </c>
    </row>
    <row r="9" spans="1:11" ht="105" x14ac:dyDescent="0.25">
      <c r="A9" t="s">
        <v>480</v>
      </c>
      <c r="B9" t="s">
        <v>361</v>
      </c>
      <c r="C9" t="s">
        <v>372</v>
      </c>
      <c r="D9" s="1" t="s">
        <v>159</v>
      </c>
      <c r="E9" s="1" t="s">
        <v>52</v>
      </c>
      <c r="F9" s="1" t="s">
        <v>51</v>
      </c>
      <c r="G9" s="1" t="s">
        <v>50</v>
      </c>
      <c r="H9" s="1" t="s">
        <v>49</v>
      </c>
      <c r="I9" s="1" t="s">
        <v>48</v>
      </c>
      <c r="J9" s="65"/>
      <c r="K9" s="32">
        <v>44562</v>
      </c>
    </row>
    <row r="10" spans="1:11" ht="135" x14ac:dyDescent="0.25">
      <c r="A10" t="s">
        <v>481</v>
      </c>
      <c r="B10" t="s">
        <v>361</v>
      </c>
      <c r="C10" t="s">
        <v>372</v>
      </c>
      <c r="D10" s="1" t="s">
        <v>55</v>
      </c>
      <c r="E10" s="1" t="s">
        <v>34</v>
      </c>
      <c r="F10" s="1" t="s">
        <v>54</v>
      </c>
      <c r="G10" s="1" t="s">
        <v>53</v>
      </c>
      <c r="H10" s="1" t="s">
        <v>56</v>
      </c>
      <c r="I10" s="1" t="s">
        <v>57</v>
      </c>
      <c r="J10" s="65"/>
      <c r="K10" s="32">
        <v>44562</v>
      </c>
    </row>
    <row r="11" spans="1:11" ht="135" x14ac:dyDescent="0.25">
      <c r="A11" t="s">
        <v>482</v>
      </c>
      <c r="B11" t="s">
        <v>361</v>
      </c>
      <c r="C11" t="s">
        <v>372</v>
      </c>
      <c r="D11" s="1" t="s">
        <v>160</v>
      </c>
      <c r="E11" s="1" t="s">
        <v>58</v>
      </c>
      <c r="F11" s="1" t="s">
        <v>60</v>
      </c>
      <c r="G11" s="1" t="s">
        <v>61</v>
      </c>
      <c r="H11" s="1" t="s">
        <v>62</v>
      </c>
      <c r="I11" s="1" t="s">
        <v>63</v>
      </c>
      <c r="J11" s="65"/>
      <c r="K11" s="32">
        <v>44562</v>
      </c>
    </row>
    <row r="12" spans="1:11" ht="75" x14ac:dyDescent="0.25">
      <c r="A12" t="s">
        <v>483</v>
      </c>
      <c r="B12" t="s">
        <v>361</v>
      </c>
      <c r="C12" t="s">
        <v>372</v>
      </c>
      <c r="D12" s="1" t="s">
        <v>68</v>
      </c>
      <c r="E12" s="1" t="s">
        <v>69</v>
      </c>
      <c r="F12" s="1" t="s">
        <v>70</v>
      </c>
      <c r="G12" s="1" t="s">
        <v>66</v>
      </c>
      <c r="H12" s="1" t="s">
        <v>67</v>
      </c>
      <c r="I12" s="1" t="s">
        <v>71</v>
      </c>
      <c r="J12" s="65"/>
      <c r="K12" s="32">
        <v>44562</v>
      </c>
    </row>
    <row r="13" spans="1:11" ht="60" x14ac:dyDescent="0.25">
      <c r="A13" t="s">
        <v>484</v>
      </c>
      <c r="B13" t="s">
        <v>361</v>
      </c>
      <c r="C13" t="s">
        <v>372</v>
      </c>
      <c r="D13" s="1" t="s">
        <v>161</v>
      </c>
      <c r="E13" s="1" t="s">
        <v>73</v>
      </c>
      <c r="F13" s="1" t="s">
        <v>74</v>
      </c>
      <c r="G13" s="1" t="s">
        <v>75</v>
      </c>
      <c r="H13" s="1" t="s">
        <v>76</v>
      </c>
      <c r="I13" s="1" t="s">
        <v>77</v>
      </c>
      <c r="J13" s="65"/>
      <c r="K13" s="32">
        <v>44562</v>
      </c>
    </row>
    <row r="14" spans="1:11" ht="150" x14ac:dyDescent="0.25">
      <c r="A14" t="s">
        <v>485</v>
      </c>
      <c r="B14" t="s">
        <v>361</v>
      </c>
      <c r="C14" t="s">
        <v>372</v>
      </c>
      <c r="D14" s="1" t="s">
        <v>162</v>
      </c>
      <c r="E14" s="1" t="s">
        <v>163</v>
      </c>
      <c r="F14" s="1" t="s">
        <v>164</v>
      </c>
      <c r="G14" s="1" t="s">
        <v>80</v>
      </c>
      <c r="H14" s="1" t="s">
        <v>81</v>
      </c>
      <c r="I14" s="1" t="s">
        <v>82</v>
      </c>
      <c r="J14" s="65"/>
      <c r="K14" s="32">
        <v>44562</v>
      </c>
    </row>
    <row r="15" spans="1:11" ht="75" x14ac:dyDescent="0.25">
      <c r="A15" t="s">
        <v>486</v>
      </c>
      <c r="B15" t="s">
        <v>361</v>
      </c>
      <c r="C15" t="s">
        <v>372</v>
      </c>
      <c r="D15" s="1" t="s">
        <v>167</v>
      </c>
      <c r="E15" s="1" t="s">
        <v>34</v>
      </c>
      <c r="F15" s="1" t="s">
        <v>35</v>
      </c>
      <c r="G15" s="1" t="s">
        <v>86</v>
      </c>
      <c r="H15" s="1" t="s">
        <v>87</v>
      </c>
      <c r="I15" s="1" t="s">
        <v>88</v>
      </c>
      <c r="J15" s="65"/>
      <c r="K15" s="32">
        <v>44562</v>
      </c>
    </row>
    <row r="16" spans="1:11" ht="165" x14ac:dyDescent="0.25">
      <c r="A16" t="s">
        <v>487</v>
      </c>
      <c r="B16" t="s">
        <v>361</v>
      </c>
      <c r="C16" t="s">
        <v>372</v>
      </c>
      <c r="D16" s="1" t="s">
        <v>168</v>
      </c>
      <c r="E16" s="1" t="s">
        <v>169</v>
      </c>
      <c r="F16" s="1" t="s">
        <v>170</v>
      </c>
      <c r="G16" s="1" t="s">
        <v>91</v>
      </c>
      <c r="H16" s="1" t="s">
        <v>92</v>
      </c>
      <c r="I16" s="1" t="s">
        <v>93</v>
      </c>
      <c r="J16" s="65"/>
      <c r="K16" s="32">
        <v>44562</v>
      </c>
    </row>
    <row r="17" spans="1:11" ht="60" x14ac:dyDescent="0.25">
      <c r="A17" t="s">
        <v>488</v>
      </c>
      <c r="B17" t="s">
        <v>361</v>
      </c>
      <c r="C17" t="s">
        <v>372</v>
      </c>
      <c r="D17" s="1" t="s">
        <v>171</v>
      </c>
      <c r="E17" s="1" t="s">
        <v>34</v>
      </c>
      <c r="F17" s="1" t="s">
        <v>35</v>
      </c>
      <c r="G17" s="1" t="s">
        <v>86</v>
      </c>
      <c r="H17" s="1" t="s">
        <v>87</v>
      </c>
      <c r="I17" s="1" t="s">
        <v>88</v>
      </c>
      <c r="J17" s="65"/>
      <c r="K17" s="32">
        <v>44562</v>
      </c>
    </row>
    <row r="18" spans="1:11" ht="60" x14ac:dyDescent="0.25">
      <c r="A18" t="s">
        <v>489</v>
      </c>
      <c r="B18" t="s">
        <v>361</v>
      </c>
      <c r="C18" t="s">
        <v>372</v>
      </c>
      <c r="D18" s="1" t="s">
        <v>172</v>
      </c>
      <c r="E18" s="1" t="s">
        <v>95</v>
      </c>
      <c r="F18" s="1" t="s">
        <v>97</v>
      </c>
      <c r="G18" s="1" t="s">
        <v>98</v>
      </c>
      <c r="H18" s="1" t="s">
        <v>99</v>
      </c>
      <c r="I18" s="1" t="s">
        <v>100</v>
      </c>
      <c r="J18" s="65"/>
      <c r="K18" s="32">
        <v>44562</v>
      </c>
    </row>
    <row r="19" spans="1:11" ht="180" x14ac:dyDescent="0.25">
      <c r="A19" t="s">
        <v>490</v>
      </c>
      <c r="B19" t="s">
        <v>361</v>
      </c>
      <c r="C19" t="s">
        <v>372</v>
      </c>
      <c r="D19" s="1" t="s">
        <v>101</v>
      </c>
      <c r="E19" s="1" t="s">
        <v>102</v>
      </c>
      <c r="F19" s="1" t="s">
        <v>103</v>
      </c>
      <c r="G19" s="1" t="s">
        <v>104</v>
      </c>
      <c r="H19" s="1" t="s">
        <v>105</v>
      </c>
      <c r="I19" s="1" t="s">
        <v>106</v>
      </c>
      <c r="J19" s="65"/>
      <c r="K19" s="32">
        <v>44562</v>
      </c>
    </row>
    <row r="20" spans="1:11" ht="90" x14ac:dyDescent="0.25">
      <c r="A20" t="s">
        <v>491</v>
      </c>
      <c r="B20" t="s">
        <v>361</v>
      </c>
      <c r="C20" t="s">
        <v>372</v>
      </c>
      <c r="D20" s="1" t="s">
        <v>109</v>
      </c>
      <c r="E20" s="1" t="s">
        <v>107</v>
      </c>
      <c r="F20" s="1" t="s">
        <v>108</v>
      </c>
      <c r="G20" s="1" t="s">
        <v>110</v>
      </c>
      <c r="H20" s="1" t="s">
        <v>111</v>
      </c>
      <c r="I20" s="1" t="s">
        <v>112</v>
      </c>
      <c r="J20" s="65"/>
      <c r="K20" s="32">
        <v>44562</v>
      </c>
    </row>
    <row r="21" spans="1:11" ht="45" x14ac:dyDescent="0.25">
      <c r="A21" t="s">
        <v>492</v>
      </c>
      <c r="B21" t="s">
        <v>361</v>
      </c>
      <c r="C21" t="s">
        <v>372</v>
      </c>
      <c r="D21" s="1" t="s">
        <v>113</v>
      </c>
      <c r="E21" s="1" t="s">
        <v>34</v>
      </c>
      <c r="F21" s="1" t="s">
        <v>35</v>
      </c>
      <c r="G21" s="1" t="s">
        <v>86</v>
      </c>
      <c r="H21" s="1" t="s">
        <v>87</v>
      </c>
      <c r="I21" s="1" t="s">
        <v>114</v>
      </c>
      <c r="J21" s="65"/>
      <c r="K21" s="32">
        <v>44562</v>
      </c>
    </row>
    <row r="22" spans="1:11" ht="105" x14ac:dyDescent="0.25">
      <c r="A22" t="s">
        <v>475</v>
      </c>
      <c r="B22" t="s">
        <v>366</v>
      </c>
      <c r="C22" t="s">
        <v>371</v>
      </c>
      <c r="D22" s="1" t="s">
        <v>235</v>
      </c>
      <c r="E22" s="1" t="s">
        <v>236</v>
      </c>
      <c r="F22" s="1" t="s">
        <v>237</v>
      </c>
      <c r="G22" s="1" t="s">
        <v>238</v>
      </c>
      <c r="H22" s="1" t="s">
        <v>239</v>
      </c>
      <c r="I22" s="1" t="s">
        <v>240</v>
      </c>
      <c r="J22" s="65"/>
      <c r="K22" s="32">
        <v>44562</v>
      </c>
    </row>
    <row r="23" spans="1:11" ht="30" x14ac:dyDescent="0.25">
      <c r="A23" t="s">
        <v>476</v>
      </c>
      <c r="B23" t="s">
        <v>366</v>
      </c>
      <c r="C23" t="s">
        <v>371</v>
      </c>
      <c r="D23" s="1" t="s">
        <v>241</v>
      </c>
      <c r="E23" s="1" t="s">
        <v>34</v>
      </c>
      <c r="F23" s="1" t="s">
        <v>35</v>
      </c>
      <c r="G23" s="1" t="s">
        <v>86</v>
      </c>
      <c r="H23" s="1" t="s">
        <v>87</v>
      </c>
      <c r="I23" s="1" t="s">
        <v>88</v>
      </c>
      <c r="J23" s="65"/>
      <c r="K23" s="32">
        <v>44562</v>
      </c>
    </row>
    <row r="24" spans="1:11" ht="165" x14ac:dyDescent="0.25">
      <c r="A24" t="s">
        <v>477</v>
      </c>
      <c r="B24" t="s">
        <v>366</v>
      </c>
      <c r="C24" t="s">
        <v>371</v>
      </c>
      <c r="D24" s="1" t="s">
        <v>242</v>
      </c>
      <c r="E24" s="1" t="s">
        <v>243</v>
      </c>
      <c r="F24" s="1" t="s">
        <v>244</v>
      </c>
      <c r="G24" s="1" t="s">
        <v>245</v>
      </c>
      <c r="H24" s="1" t="s">
        <v>246</v>
      </c>
      <c r="I24" s="1" t="s">
        <v>247</v>
      </c>
      <c r="J24" s="65"/>
      <c r="K24" s="32">
        <v>44562</v>
      </c>
    </row>
    <row r="25" spans="1:11" ht="165" x14ac:dyDescent="0.25">
      <c r="A25" t="s">
        <v>461</v>
      </c>
      <c r="B25" s="1" t="s">
        <v>366</v>
      </c>
      <c r="C25" s="13" t="s">
        <v>374</v>
      </c>
      <c r="D25" s="1" t="s">
        <v>320</v>
      </c>
      <c r="E25" s="1"/>
      <c r="F25" s="1"/>
      <c r="G25" s="1"/>
      <c r="H25" s="1"/>
      <c r="I25" s="1"/>
      <c r="J25" s="65"/>
      <c r="K25" s="32">
        <v>44562</v>
      </c>
    </row>
    <row r="26" spans="1:11" ht="75" x14ac:dyDescent="0.25">
      <c r="A26" t="s">
        <v>462</v>
      </c>
      <c r="B26" s="1" t="s">
        <v>366</v>
      </c>
      <c r="C26" s="13" t="s">
        <v>374</v>
      </c>
      <c r="D26" s="1" t="s">
        <v>321</v>
      </c>
      <c r="E26" s="1"/>
      <c r="F26" s="1"/>
      <c r="G26" s="1"/>
      <c r="H26" s="1"/>
      <c r="I26" s="1"/>
      <c r="J26" s="65"/>
      <c r="K26" s="32">
        <v>44562</v>
      </c>
    </row>
    <row r="27" spans="1:11" ht="30" x14ac:dyDescent="0.25">
      <c r="A27" t="s">
        <v>463</v>
      </c>
      <c r="B27" s="1" t="s">
        <v>366</v>
      </c>
      <c r="C27" s="13" t="s">
        <v>374</v>
      </c>
      <c r="D27" s="1" t="s">
        <v>322</v>
      </c>
      <c r="E27" s="1"/>
      <c r="F27" s="1"/>
      <c r="G27" s="1"/>
      <c r="H27" s="1"/>
      <c r="I27" s="1"/>
      <c r="J27" s="65"/>
      <c r="K27" s="32">
        <v>44562</v>
      </c>
    </row>
    <row r="28" spans="1:11" ht="60" x14ac:dyDescent="0.25">
      <c r="A28" t="s">
        <v>464</v>
      </c>
      <c r="B28" s="1" t="s">
        <v>366</v>
      </c>
      <c r="C28" s="13" t="s">
        <v>374</v>
      </c>
      <c r="D28" s="1" t="s">
        <v>323</v>
      </c>
      <c r="E28" s="1"/>
      <c r="F28" s="1"/>
      <c r="G28" s="1"/>
      <c r="H28" s="1"/>
      <c r="I28" s="1"/>
      <c r="J28" s="65"/>
      <c r="K28" s="32">
        <v>44562</v>
      </c>
    </row>
    <row r="29" spans="1:11" ht="90" x14ac:dyDescent="0.25">
      <c r="A29" t="s">
        <v>465</v>
      </c>
      <c r="B29" s="1" t="s">
        <v>366</v>
      </c>
      <c r="C29" s="13" t="s">
        <v>374</v>
      </c>
      <c r="D29" s="1" t="s">
        <v>324</v>
      </c>
      <c r="E29" s="1"/>
      <c r="F29" s="1"/>
      <c r="G29" s="1"/>
      <c r="H29" s="1"/>
      <c r="I29" s="1"/>
      <c r="J29" s="65"/>
      <c r="K29" s="32">
        <v>44562</v>
      </c>
    </row>
    <row r="30" spans="1:11" ht="45" x14ac:dyDescent="0.25">
      <c r="A30" t="s">
        <v>466</v>
      </c>
      <c r="B30" s="1" t="s">
        <v>366</v>
      </c>
      <c r="C30" s="13" t="s">
        <v>374</v>
      </c>
      <c r="D30" s="1" t="s">
        <v>325</v>
      </c>
      <c r="E30" s="1"/>
      <c r="F30" s="1"/>
      <c r="G30" s="1"/>
      <c r="H30" s="1"/>
      <c r="I30" s="1"/>
      <c r="J30" s="65"/>
      <c r="K30" s="32">
        <v>44562</v>
      </c>
    </row>
    <row r="31" spans="1:11" ht="45" x14ac:dyDescent="0.25">
      <c r="A31" t="s">
        <v>467</v>
      </c>
      <c r="B31" s="1" t="s">
        <v>366</v>
      </c>
      <c r="C31" s="13" t="s">
        <v>374</v>
      </c>
      <c r="D31" s="1" t="s">
        <v>326</v>
      </c>
      <c r="E31" s="1"/>
      <c r="F31" s="1"/>
      <c r="G31" s="1"/>
      <c r="H31" s="1"/>
      <c r="I31" s="1"/>
      <c r="J31" s="65"/>
      <c r="K31" s="32">
        <v>44562</v>
      </c>
    </row>
    <row r="32" spans="1:11" ht="45" x14ac:dyDescent="0.25">
      <c r="A32" t="s">
        <v>468</v>
      </c>
      <c r="B32" s="1" t="s">
        <v>366</v>
      </c>
      <c r="C32" s="13" t="s">
        <v>374</v>
      </c>
      <c r="D32" s="1" t="s">
        <v>327</v>
      </c>
      <c r="E32" s="1"/>
      <c r="F32" s="1"/>
      <c r="G32" s="1"/>
      <c r="H32" s="1"/>
      <c r="I32" s="1"/>
      <c r="J32" s="65"/>
      <c r="K32" s="32">
        <v>44562</v>
      </c>
    </row>
    <row r="33" spans="1:11" ht="45" x14ac:dyDescent="0.25">
      <c r="A33" t="s">
        <v>469</v>
      </c>
      <c r="B33" s="1" t="s">
        <v>366</v>
      </c>
      <c r="C33" s="13" t="s">
        <v>374</v>
      </c>
      <c r="D33" s="1" t="s">
        <v>328</v>
      </c>
      <c r="E33" s="1"/>
      <c r="F33" s="1"/>
      <c r="G33" s="1"/>
      <c r="H33" s="1"/>
      <c r="I33" s="1"/>
      <c r="J33" s="65"/>
      <c r="K33" s="32">
        <v>44562</v>
      </c>
    </row>
    <row r="34" spans="1:11" ht="30" x14ac:dyDescent="0.25">
      <c r="A34" t="s">
        <v>470</v>
      </c>
      <c r="B34" s="1" t="s">
        <v>366</v>
      </c>
      <c r="C34" s="13" t="s">
        <v>374</v>
      </c>
      <c r="D34" s="1" t="s">
        <v>329</v>
      </c>
      <c r="E34" s="1"/>
      <c r="F34" s="1"/>
      <c r="G34" s="1"/>
      <c r="H34" s="1"/>
      <c r="I34" s="1"/>
      <c r="J34" s="65"/>
      <c r="K34" s="32">
        <v>44562</v>
      </c>
    </row>
    <row r="35" spans="1:11" ht="60" x14ac:dyDescent="0.25">
      <c r="A35" t="s">
        <v>471</v>
      </c>
      <c r="B35" s="1" t="s">
        <v>366</v>
      </c>
      <c r="C35" s="13" t="s">
        <v>374</v>
      </c>
      <c r="D35" s="1" t="s">
        <v>330</v>
      </c>
      <c r="E35" s="1"/>
      <c r="F35" s="1"/>
      <c r="G35" s="1"/>
      <c r="H35" s="1"/>
      <c r="I35" s="1"/>
      <c r="J35" s="65"/>
      <c r="K35" s="32">
        <v>44562</v>
      </c>
    </row>
    <row r="36" spans="1:11" ht="75" x14ac:dyDescent="0.25">
      <c r="A36" t="s">
        <v>472</v>
      </c>
      <c r="B36" s="1" t="s">
        <v>366</v>
      </c>
      <c r="C36" s="13" t="s">
        <v>374</v>
      </c>
      <c r="D36" s="1" t="s">
        <v>331</v>
      </c>
      <c r="E36" s="1"/>
      <c r="F36" s="1"/>
      <c r="G36" s="1"/>
      <c r="H36" s="1"/>
      <c r="I36" s="1"/>
      <c r="J36" s="65"/>
      <c r="K36" s="32">
        <v>44562</v>
      </c>
    </row>
    <row r="37" spans="1:11" ht="90" x14ac:dyDescent="0.25">
      <c r="A37" t="s">
        <v>473</v>
      </c>
      <c r="B37" s="1" t="s">
        <v>366</v>
      </c>
      <c r="C37" s="13" t="s">
        <v>374</v>
      </c>
      <c r="D37" s="1" t="s">
        <v>332</v>
      </c>
      <c r="E37" s="1"/>
      <c r="F37" s="1"/>
      <c r="G37" s="1"/>
      <c r="H37" s="1"/>
      <c r="I37" s="1"/>
      <c r="J37" s="65"/>
      <c r="K37" s="32">
        <v>44562</v>
      </c>
    </row>
    <row r="38" spans="1:11" ht="90" x14ac:dyDescent="0.25">
      <c r="A38" t="s">
        <v>474</v>
      </c>
      <c r="B38" s="1" t="s">
        <v>366</v>
      </c>
      <c r="C38" s="13" t="s">
        <v>374</v>
      </c>
      <c r="D38" s="1" t="s">
        <v>333</v>
      </c>
      <c r="E38" s="1"/>
      <c r="F38" s="1"/>
      <c r="G38" s="1"/>
      <c r="H38" s="1"/>
      <c r="I38" s="1"/>
      <c r="J38" s="65"/>
      <c r="K38" s="32">
        <v>44562</v>
      </c>
    </row>
  </sheetData>
  <sheetProtection password="E0C0" sheet="1" objects="1" scenarios="1"/>
  <protectedRanges>
    <protectedRange sqref="J7:J38" name="tabel"/>
  </protectedRanges>
  <mergeCells count="2">
    <mergeCell ref="E1:G1"/>
    <mergeCell ref="E2:G2"/>
  </mergeCells>
  <conditionalFormatting sqref="J7:J38">
    <cfRule type="containsBlanks" dxfId="68" priority="3">
      <formula>LEN(TRIM(J7))=0</formula>
    </cfRule>
  </conditionalFormatting>
  <conditionalFormatting sqref="I4:I5">
    <cfRule type="containsText" dxfId="67" priority="2" operator="containsText" text="Data belum komplit">
      <formula>NOT(ISERROR(SEARCH("Data belum komplit",I4)))</formula>
    </cfRule>
  </conditionalFormatting>
  <conditionalFormatting sqref="I4">
    <cfRule type="containsText" dxfId="66" priority="1" operator="containsText" text="Data komplit">
      <formula>NOT(ISERROR(SEARCH("Data komplit",I4)))</formula>
    </cfRule>
  </conditionalFormatting>
  <dataValidations count="2">
    <dataValidation type="list" allowBlank="1" showInputMessage="1" showErrorMessage="1" error="Hanya bisa diisi 1-5" promptTitle="Petunjuk" prompt="Isi angka 1-5" sqref="J7:J38">
      <formula1>"1,2,3,4,5"</formula1>
    </dataValidation>
    <dataValidation type="textLength" operator="equal" allowBlank="1" showInputMessage="1" showErrorMessage="1" errorTitle="Error" error="Tidak bisa input data di sini" promptTitle="Error" prompt="Tidak bisa input data di sini" sqref="J39:J100">
      <formula1>0</formula1>
    </dataValidation>
  </dataValidations>
  <pageMargins left="0.7" right="0.7" top="0.75" bottom="0.75" header="0.3" footer="0.3"/>
  <pageSetup paperSize="9" orientation="portrait" horizontalDpi="4294967292" verticalDpi="0" r:id="rId1"/>
  <drawing r:id="rId2"/>
  <legacyDrawing r:id="rId3"/>
  <controls>
    <mc:AlternateContent xmlns:mc="http://schemas.openxmlformats.org/markup-compatibility/2006">
      <mc:Choice Requires="x14">
        <control shapeId="21530" r:id="rId4" name="tab_grafik">
          <controlPr defaultSize="0" autoLine="0" r:id="rId5">
            <anchor moveWithCells="1">
              <from>
                <xdr:col>7</xdr:col>
                <xdr:colOff>85725</xdr:colOff>
                <xdr:row>0</xdr:row>
                <xdr:rowOff>57150</xdr:rowOff>
              </from>
              <to>
                <xdr:col>7</xdr:col>
                <xdr:colOff>771525</xdr:colOff>
                <xdr:row>0</xdr:row>
                <xdr:rowOff>323850</xdr:rowOff>
              </to>
            </anchor>
          </controlPr>
        </control>
      </mc:Choice>
      <mc:Fallback>
        <control shapeId="21530" r:id="rId4" name="tab_grafik"/>
      </mc:Fallback>
    </mc:AlternateContent>
    <mc:AlternateContent xmlns:mc="http://schemas.openxmlformats.org/markup-compatibility/2006">
      <mc:Choice Requires="x14">
        <control shapeId="21529" r:id="rId6" name="tab_chart">
          <controlPr defaultSize="0" autoLine="0" r:id="rId7">
            <anchor moveWithCells="1">
              <from>
                <xdr:col>6</xdr:col>
                <xdr:colOff>742950</xdr:colOff>
                <xdr:row>0</xdr:row>
                <xdr:rowOff>57150</xdr:rowOff>
              </from>
              <to>
                <xdr:col>6</xdr:col>
                <xdr:colOff>1266825</xdr:colOff>
                <xdr:row>0</xdr:row>
                <xdr:rowOff>323850</xdr:rowOff>
              </to>
            </anchor>
          </controlPr>
        </control>
      </mc:Choice>
      <mc:Fallback>
        <control shapeId="21529" r:id="rId6" name="tab_chart"/>
      </mc:Fallback>
    </mc:AlternateContent>
    <mc:AlternateContent xmlns:mc="http://schemas.openxmlformats.org/markup-compatibility/2006">
      <mc:Choice Requires="x14">
        <control shapeId="21525" r:id="rId8" name="submit_hukum">
          <controlPr defaultSize="0" autoLine="0" r:id="rId9">
            <anchor moveWithCells="1">
              <from>
                <xdr:col>9</xdr:col>
                <xdr:colOff>419100</xdr:colOff>
                <xdr:row>2</xdr:row>
                <xdr:rowOff>152400</xdr:rowOff>
              </from>
              <to>
                <xdr:col>10</xdr:col>
                <xdr:colOff>704850</xdr:colOff>
                <xdr:row>4</xdr:row>
                <xdr:rowOff>38100</xdr:rowOff>
              </to>
            </anchor>
          </controlPr>
        </control>
      </mc:Choice>
      <mc:Fallback>
        <control shapeId="21525" r:id="rId8" name="submit_hukum"/>
      </mc:Fallback>
    </mc:AlternateContent>
    <mc:AlternateContent xmlns:mc="http://schemas.openxmlformats.org/markup-compatibility/2006">
      <mc:Choice Requires="x14">
        <control shapeId="21524" r:id="rId10" name="clear_filter_hukum">
          <controlPr defaultSize="0" autoLine="0" r:id="rId11">
            <anchor moveWithCells="1">
              <from>
                <xdr:col>3</xdr:col>
                <xdr:colOff>1847850</xdr:colOff>
                <xdr:row>3</xdr:row>
                <xdr:rowOff>38100</xdr:rowOff>
              </from>
              <to>
                <xdr:col>4</xdr:col>
                <xdr:colOff>666750</xdr:colOff>
                <xdr:row>4</xdr:row>
                <xdr:rowOff>133350</xdr:rowOff>
              </to>
            </anchor>
          </controlPr>
        </control>
      </mc:Choice>
      <mc:Fallback>
        <control shapeId="21524" r:id="rId10" name="clear_filter_hukum"/>
      </mc:Fallback>
    </mc:AlternateContent>
    <mc:AlternateContent xmlns:mc="http://schemas.openxmlformats.org/markup-compatibility/2006">
      <mc:Choice Requires="x14">
        <control shapeId="21523" r:id="rId12" name="filter_blank_hukum">
          <controlPr defaultSize="0" autoLine="0" r:id="rId13">
            <anchor moveWithCells="1">
              <from>
                <xdr:col>4</xdr:col>
                <xdr:colOff>800100</xdr:colOff>
                <xdr:row>3</xdr:row>
                <xdr:rowOff>38100</xdr:rowOff>
              </from>
              <to>
                <xdr:col>5</xdr:col>
                <xdr:colOff>733425</xdr:colOff>
                <xdr:row>4</xdr:row>
                <xdr:rowOff>133350</xdr:rowOff>
              </to>
            </anchor>
          </controlPr>
        </control>
      </mc:Choice>
      <mc:Fallback>
        <control shapeId="21523" r:id="rId12" name="filter_blank_hukum"/>
      </mc:Fallback>
    </mc:AlternateContent>
    <mc:AlternateContent xmlns:mc="http://schemas.openxmlformats.org/markup-compatibility/2006">
      <mc:Choice Requires="x14">
        <control shapeId="21522" r:id="rId14" name="filter_indikator_hukum">
          <controlPr defaultSize="0" autoLine="0" r:id="rId15">
            <anchor moveWithCells="1">
              <from>
                <xdr:col>3</xdr:col>
                <xdr:colOff>466725</xdr:colOff>
                <xdr:row>3</xdr:row>
                <xdr:rowOff>38100</xdr:rowOff>
              </from>
              <to>
                <xdr:col>3</xdr:col>
                <xdr:colOff>1704975</xdr:colOff>
                <xdr:row>4</xdr:row>
                <xdr:rowOff>133350</xdr:rowOff>
              </to>
            </anchor>
          </controlPr>
        </control>
      </mc:Choice>
      <mc:Fallback>
        <control shapeId="21522" r:id="rId14" name="filter_indikator_hukum"/>
      </mc:Fallback>
    </mc:AlternateContent>
    <mc:AlternateContent xmlns:mc="http://schemas.openxmlformats.org/markup-compatibility/2006">
      <mc:Choice Requires="x14">
        <control shapeId="21521" r:id="rId16" name="filter_peringkat_hukum">
          <controlPr defaultSize="0" autoLine="0" r:id="rId17">
            <anchor moveWithCells="1">
              <from>
                <xdr:col>2</xdr:col>
                <xdr:colOff>266700</xdr:colOff>
                <xdr:row>3</xdr:row>
                <xdr:rowOff>38100</xdr:rowOff>
              </from>
              <to>
                <xdr:col>3</xdr:col>
                <xdr:colOff>361950</xdr:colOff>
                <xdr:row>4</xdr:row>
                <xdr:rowOff>133350</xdr:rowOff>
              </to>
            </anchor>
          </controlPr>
        </control>
      </mc:Choice>
      <mc:Fallback>
        <control shapeId="21521" r:id="rId16" name="filter_peringkat_hukum"/>
      </mc:Fallback>
    </mc:AlternateContent>
    <mc:AlternateContent xmlns:mc="http://schemas.openxmlformats.org/markup-compatibility/2006">
      <mc:Choice Requires="x14">
        <control shapeId="21520" r:id="rId18" name="kpmr_hukum">
          <controlPr defaultSize="0" autoLine="0" r:id="rId19">
            <anchor moveWithCells="1">
              <from>
                <xdr:col>0</xdr:col>
                <xdr:colOff>66675</xdr:colOff>
                <xdr:row>3</xdr:row>
                <xdr:rowOff>38100</xdr:rowOff>
              </from>
              <to>
                <xdr:col>2</xdr:col>
                <xdr:colOff>171450</xdr:colOff>
                <xdr:row>4</xdr:row>
                <xdr:rowOff>133350</xdr:rowOff>
              </to>
            </anchor>
          </controlPr>
        </control>
      </mc:Choice>
      <mc:Fallback>
        <control shapeId="21520" r:id="rId18" name="kpmr_hukum"/>
      </mc:Fallback>
    </mc:AlternateContent>
    <mc:AlternateContent xmlns:mc="http://schemas.openxmlformats.org/markup-compatibility/2006">
      <mc:Choice Requires="x14">
        <control shapeId="21519" r:id="rId20" name="pilih_periode_hukum">
          <controlPr defaultSize="0" autoFill="0" autoLine="0" r:id="rId21">
            <anchor moveWithCells="1">
              <from>
                <xdr:col>4</xdr:col>
                <xdr:colOff>9525</xdr:colOff>
                <xdr:row>1</xdr:row>
                <xdr:rowOff>9525</xdr:rowOff>
              </from>
              <to>
                <xdr:col>4</xdr:col>
                <xdr:colOff>800100</xdr:colOff>
                <xdr:row>2</xdr:row>
                <xdr:rowOff>9525</xdr:rowOff>
              </to>
            </anchor>
          </controlPr>
        </control>
      </mc:Choice>
      <mc:Fallback>
        <control shapeId="21519" r:id="rId20" name="pilih_periode_hukum"/>
      </mc:Fallback>
    </mc:AlternateContent>
    <mc:AlternateContent xmlns:mc="http://schemas.openxmlformats.org/markup-compatibility/2006">
      <mc:Choice Requires="x14">
        <control shapeId="21518" r:id="rId22" name="tab_main_menu">
          <controlPr defaultSize="0" autoLine="0" r:id="rId23">
            <anchor moveWithCells="1">
              <from>
                <xdr:col>0</xdr:col>
                <xdr:colOff>85725</xdr:colOff>
                <xdr:row>0</xdr:row>
                <xdr:rowOff>57150</xdr:rowOff>
              </from>
              <to>
                <xdr:col>2</xdr:col>
                <xdr:colOff>276225</xdr:colOff>
                <xdr:row>0</xdr:row>
                <xdr:rowOff>323850</xdr:rowOff>
              </to>
            </anchor>
          </controlPr>
        </control>
      </mc:Choice>
      <mc:Fallback>
        <control shapeId="21518" r:id="rId22" name="tab_main_menu"/>
      </mc:Fallback>
    </mc:AlternateContent>
  </controls>
  <tableParts count="1">
    <tablePart r:id="rId2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K33"/>
  <sheetViews>
    <sheetView showGridLines="0" workbookViewId="0">
      <pane ySplit="6" topLeftCell="A20" activePane="bottomLeft" state="frozen"/>
      <selection pane="bottomLeft" activeCell="D21" sqref="D21"/>
    </sheetView>
  </sheetViews>
  <sheetFormatPr defaultRowHeight="15" x14ac:dyDescent="0.25"/>
  <cols>
    <col min="1" max="1" width="10.140625" customWidth="1"/>
    <col min="2" max="2" width="17" hidden="1" customWidth="1"/>
    <col min="3" max="3" width="17.85546875" bestFit="1" customWidth="1"/>
    <col min="4" max="4" width="35.5703125" customWidth="1"/>
    <col min="5" max="5" width="17.85546875" bestFit="1" customWidth="1"/>
    <col min="6" max="6" width="21.42578125" customWidth="1"/>
    <col min="7" max="7" width="19.140625" bestFit="1" customWidth="1"/>
    <col min="8" max="8" width="21.7109375" customWidth="1"/>
    <col min="9" max="9" width="19.85546875" customWidth="1"/>
    <col min="10" max="10" width="9.28515625" customWidth="1"/>
    <col min="11" max="11" width="10.7109375" bestFit="1" customWidth="1"/>
  </cols>
  <sheetData>
    <row r="1" spans="1:11" ht="26.25" x14ac:dyDescent="0.4">
      <c r="E1" s="87" t="s">
        <v>296</v>
      </c>
      <c r="F1" s="87"/>
      <c r="G1" s="87"/>
      <c r="H1" s="3"/>
    </row>
    <row r="2" spans="1:11" ht="18.75" x14ac:dyDescent="0.25">
      <c r="E2" s="88">
        <v>44562</v>
      </c>
      <c r="F2" s="89"/>
      <c r="G2" s="89"/>
    </row>
    <row r="4" spans="1:11" x14ac:dyDescent="0.25">
      <c r="I4" s="49" t="str">
        <f>IF(COUNTBLANK($J$7:$J$33)&gt;0,"Data belum komplit", "Data komplit")</f>
        <v>Data belum komplit</v>
      </c>
      <c r="J4" s="47"/>
    </row>
    <row r="5" spans="1:11" x14ac:dyDescent="0.25">
      <c r="I5" s="48"/>
    </row>
    <row r="6" spans="1:11" ht="30" x14ac:dyDescent="0.25">
      <c r="A6" s="28" t="s">
        <v>83</v>
      </c>
      <c r="B6" s="29" t="s">
        <v>14</v>
      </c>
      <c r="C6" s="28" t="s">
        <v>373</v>
      </c>
      <c r="D6" s="30" t="s">
        <v>382</v>
      </c>
      <c r="E6" s="30" t="s">
        <v>375</v>
      </c>
      <c r="F6" s="30" t="s">
        <v>556</v>
      </c>
      <c r="G6" s="30" t="s">
        <v>377</v>
      </c>
      <c r="H6" s="30" t="s">
        <v>378</v>
      </c>
      <c r="I6" s="30" t="s">
        <v>379</v>
      </c>
      <c r="J6" s="30" t="s">
        <v>357</v>
      </c>
      <c r="K6" s="30" t="s">
        <v>13</v>
      </c>
    </row>
    <row r="7" spans="1:11" ht="75" x14ac:dyDescent="0.25">
      <c r="A7" t="s">
        <v>505</v>
      </c>
      <c r="B7" t="s">
        <v>362</v>
      </c>
      <c r="C7" t="s">
        <v>372</v>
      </c>
      <c r="D7" s="1" t="s">
        <v>42</v>
      </c>
      <c r="E7" s="1" t="s">
        <v>36</v>
      </c>
      <c r="F7" s="1" t="s">
        <v>37</v>
      </c>
      <c r="G7" s="1" t="s">
        <v>38</v>
      </c>
      <c r="H7" s="1" t="s">
        <v>39</v>
      </c>
      <c r="I7" s="1" t="s">
        <v>40</v>
      </c>
      <c r="J7" s="65">
        <v>4</v>
      </c>
      <c r="K7" s="32">
        <v>44562</v>
      </c>
    </row>
    <row r="8" spans="1:11" ht="105" x14ac:dyDescent="0.25">
      <c r="A8" t="s">
        <v>506</v>
      </c>
      <c r="B8" t="s">
        <v>362</v>
      </c>
      <c r="C8" t="s">
        <v>372</v>
      </c>
      <c r="D8" s="1" t="s">
        <v>173</v>
      </c>
      <c r="E8" s="1" t="s">
        <v>43</v>
      </c>
      <c r="F8" s="1" t="s">
        <v>44</v>
      </c>
      <c r="G8" s="1" t="s">
        <v>45</v>
      </c>
      <c r="H8" s="1" t="s">
        <v>64</v>
      </c>
      <c r="I8" s="1" t="s">
        <v>65</v>
      </c>
      <c r="J8" s="65">
        <v>4</v>
      </c>
      <c r="K8" s="32">
        <v>44562</v>
      </c>
    </row>
    <row r="9" spans="1:11" ht="105" x14ac:dyDescent="0.25">
      <c r="A9" t="s">
        <v>507</v>
      </c>
      <c r="B9" t="s">
        <v>362</v>
      </c>
      <c r="C9" t="s">
        <v>372</v>
      </c>
      <c r="D9" s="1" t="s">
        <v>174</v>
      </c>
      <c r="E9" s="1" t="s">
        <v>52</v>
      </c>
      <c r="F9" s="1" t="s">
        <v>51</v>
      </c>
      <c r="G9" s="1" t="s">
        <v>50</v>
      </c>
      <c r="H9" s="1" t="s">
        <v>49</v>
      </c>
      <c r="I9" s="1" t="s">
        <v>48</v>
      </c>
      <c r="J9" s="65">
        <v>5</v>
      </c>
      <c r="K9" s="32">
        <v>44562</v>
      </c>
    </row>
    <row r="10" spans="1:11" ht="135" x14ac:dyDescent="0.25">
      <c r="A10" t="s">
        <v>508</v>
      </c>
      <c r="B10" t="s">
        <v>362</v>
      </c>
      <c r="C10" t="s">
        <v>372</v>
      </c>
      <c r="D10" s="1" t="s">
        <v>55</v>
      </c>
      <c r="E10" s="1" t="s">
        <v>34</v>
      </c>
      <c r="F10" s="1" t="s">
        <v>54</v>
      </c>
      <c r="G10" s="1" t="s">
        <v>53</v>
      </c>
      <c r="H10" s="1" t="s">
        <v>56</v>
      </c>
      <c r="I10" s="1" t="s">
        <v>57</v>
      </c>
      <c r="J10" s="65">
        <v>5</v>
      </c>
      <c r="K10" s="32">
        <v>44562</v>
      </c>
    </row>
    <row r="11" spans="1:11" ht="135" x14ac:dyDescent="0.25">
      <c r="A11" t="s">
        <v>509</v>
      </c>
      <c r="B11" t="s">
        <v>362</v>
      </c>
      <c r="C11" t="s">
        <v>372</v>
      </c>
      <c r="D11" s="1" t="s">
        <v>175</v>
      </c>
      <c r="E11" s="1" t="s">
        <v>58</v>
      </c>
      <c r="F11" s="1" t="s">
        <v>60</v>
      </c>
      <c r="G11" s="1" t="s">
        <v>61</v>
      </c>
      <c r="H11" s="1" t="s">
        <v>62</v>
      </c>
      <c r="I11" s="1" t="s">
        <v>63</v>
      </c>
      <c r="J11" s="65">
        <v>2</v>
      </c>
      <c r="K11" s="32">
        <v>44562</v>
      </c>
    </row>
    <row r="12" spans="1:11" ht="75" x14ac:dyDescent="0.25">
      <c r="A12" t="s">
        <v>510</v>
      </c>
      <c r="B12" t="s">
        <v>362</v>
      </c>
      <c r="C12" t="s">
        <v>372</v>
      </c>
      <c r="D12" s="1" t="s">
        <v>68</v>
      </c>
      <c r="E12" s="1" t="s">
        <v>69</v>
      </c>
      <c r="F12" s="1" t="s">
        <v>70</v>
      </c>
      <c r="G12" s="1" t="s">
        <v>66</v>
      </c>
      <c r="H12" s="1" t="s">
        <v>67</v>
      </c>
      <c r="I12" s="1" t="s">
        <v>71</v>
      </c>
      <c r="J12" s="65">
        <v>2</v>
      </c>
      <c r="K12" s="32">
        <v>44562</v>
      </c>
    </row>
    <row r="13" spans="1:11" ht="75" x14ac:dyDescent="0.25">
      <c r="A13" t="s">
        <v>511</v>
      </c>
      <c r="B13" t="s">
        <v>362</v>
      </c>
      <c r="C13" t="s">
        <v>372</v>
      </c>
      <c r="D13" s="1" t="s">
        <v>176</v>
      </c>
      <c r="E13" s="1" t="s">
        <v>73</v>
      </c>
      <c r="F13" s="1" t="s">
        <v>74</v>
      </c>
      <c r="G13" s="1" t="s">
        <v>75</v>
      </c>
      <c r="H13" s="1" t="s">
        <v>76</v>
      </c>
      <c r="I13" s="1" t="s">
        <v>77</v>
      </c>
      <c r="J13" s="65">
        <v>2</v>
      </c>
      <c r="K13" s="32">
        <v>44562</v>
      </c>
    </row>
    <row r="14" spans="1:11" ht="150" x14ac:dyDescent="0.25">
      <c r="A14" t="s">
        <v>512</v>
      </c>
      <c r="B14" t="s">
        <v>362</v>
      </c>
      <c r="C14" t="s">
        <v>372</v>
      </c>
      <c r="D14" s="1" t="s">
        <v>177</v>
      </c>
      <c r="E14" s="1" t="s">
        <v>178</v>
      </c>
      <c r="F14" s="1" t="s">
        <v>179</v>
      </c>
      <c r="G14" s="1" t="s">
        <v>80</v>
      </c>
      <c r="H14" s="1" t="s">
        <v>81</v>
      </c>
      <c r="I14" s="1" t="s">
        <v>82</v>
      </c>
      <c r="J14" s="65">
        <v>2</v>
      </c>
      <c r="K14" s="32">
        <v>44562</v>
      </c>
    </row>
    <row r="15" spans="1:11" ht="75" x14ac:dyDescent="0.25">
      <c r="A15" t="s">
        <v>513</v>
      </c>
      <c r="B15" t="s">
        <v>362</v>
      </c>
      <c r="C15" t="s">
        <v>372</v>
      </c>
      <c r="D15" s="1" t="s">
        <v>180</v>
      </c>
      <c r="E15" s="1" t="s">
        <v>34</v>
      </c>
      <c r="F15" s="1" t="s">
        <v>35</v>
      </c>
      <c r="G15" s="1" t="s">
        <v>86</v>
      </c>
      <c r="H15" s="1" t="s">
        <v>87</v>
      </c>
      <c r="I15" s="1" t="s">
        <v>88</v>
      </c>
      <c r="J15" s="65">
        <v>1</v>
      </c>
      <c r="K15" s="32">
        <v>44562</v>
      </c>
    </row>
    <row r="16" spans="1:11" ht="165" x14ac:dyDescent="0.25">
      <c r="A16" t="s">
        <v>514</v>
      </c>
      <c r="B16" t="s">
        <v>362</v>
      </c>
      <c r="C16" t="s">
        <v>372</v>
      </c>
      <c r="D16" s="1" t="s">
        <v>181</v>
      </c>
      <c r="E16" s="1" t="s">
        <v>182</v>
      </c>
      <c r="F16" s="1" t="s">
        <v>183</v>
      </c>
      <c r="G16" s="1" t="s">
        <v>91</v>
      </c>
      <c r="H16" s="1" t="s">
        <v>92</v>
      </c>
      <c r="I16" s="1" t="s">
        <v>93</v>
      </c>
      <c r="J16" s="65">
        <v>2</v>
      </c>
      <c r="K16" s="32">
        <v>44562</v>
      </c>
    </row>
    <row r="17" spans="1:11" ht="60" x14ac:dyDescent="0.25">
      <c r="A17" t="s">
        <v>515</v>
      </c>
      <c r="B17" t="s">
        <v>362</v>
      </c>
      <c r="C17" t="s">
        <v>372</v>
      </c>
      <c r="D17" s="1" t="s">
        <v>184</v>
      </c>
      <c r="E17" s="1" t="s">
        <v>34</v>
      </c>
      <c r="F17" s="1" t="s">
        <v>35</v>
      </c>
      <c r="G17" s="1" t="s">
        <v>86</v>
      </c>
      <c r="H17" s="1" t="s">
        <v>87</v>
      </c>
      <c r="I17" s="1" t="s">
        <v>88</v>
      </c>
      <c r="J17" s="65">
        <v>3</v>
      </c>
      <c r="K17" s="32">
        <v>44562</v>
      </c>
    </row>
    <row r="18" spans="1:11" ht="60" x14ac:dyDescent="0.25">
      <c r="A18" t="s">
        <v>516</v>
      </c>
      <c r="B18" t="s">
        <v>362</v>
      </c>
      <c r="C18" t="s">
        <v>372</v>
      </c>
      <c r="D18" s="1" t="s">
        <v>185</v>
      </c>
      <c r="E18" s="1" t="s">
        <v>95</v>
      </c>
      <c r="F18" s="1" t="s">
        <v>97</v>
      </c>
      <c r="G18" s="1" t="s">
        <v>98</v>
      </c>
      <c r="H18" s="1" t="s">
        <v>99</v>
      </c>
      <c r="I18" s="1" t="s">
        <v>100</v>
      </c>
      <c r="J18" s="65">
        <v>4</v>
      </c>
      <c r="K18" s="32">
        <v>44562</v>
      </c>
    </row>
    <row r="19" spans="1:11" ht="180" x14ac:dyDescent="0.25">
      <c r="A19" t="s">
        <v>517</v>
      </c>
      <c r="B19" t="s">
        <v>362</v>
      </c>
      <c r="C19" t="s">
        <v>372</v>
      </c>
      <c r="D19" s="1" t="s">
        <v>101</v>
      </c>
      <c r="E19" s="1" t="s">
        <v>102</v>
      </c>
      <c r="F19" s="1" t="s">
        <v>103</v>
      </c>
      <c r="G19" s="1" t="s">
        <v>104</v>
      </c>
      <c r="H19" s="1" t="s">
        <v>105</v>
      </c>
      <c r="I19" s="1" t="s">
        <v>106</v>
      </c>
      <c r="J19" s="65"/>
      <c r="K19" s="32">
        <v>44562</v>
      </c>
    </row>
    <row r="20" spans="1:11" ht="90" x14ac:dyDescent="0.25">
      <c r="A20" t="s">
        <v>518</v>
      </c>
      <c r="B20" t="s">
        <v>362</v>
      </c>
      <c r="C20" t="s">
        <v>372</v>
      </c>
      <c r="D20" s="1" t="s">
        <v>109</v>
      </c>
      <c r="E20" s="1" t="s">
        <v>107</v>
      </c>
      <c r="F20" s="1" t="s">
        <v>108</v>
      </c>
      <c r="G20" s="1" t="s">
        <v>110</v>
      </c>
      <c r="H20" s="1" t="s">
        <v>111</v>
      </c>
      <c r="I20" s="1" t="s">
        <v>112</v>
      </c>
      <c r="J20" s="65"/>
      <c r="K20" s="32">
        <v>44562</v>
      </c>
    </row>
    <row r="21" spans="1:11" ht="45" x14ac:dyDescent="0.25">
      <c r="A21" t="s">
        <v>519</v>
      </c>
      <c r="B21" t="s">
        <v>362</v>
      </c>
      <c r="C21" t="s">
        <v>372</v>
      </c>
      <c r="D21" s="1" t="s">
        <v>113</v>
      </c>
      <c r="E21" s="1" t="s">
        <v>34</v>
      </c>
      <c r="F21" s="1" t="s">
        <v>35</v>
      </c>
      <c r="G21" s="1" t="s">
        <v>86</v>
      </c>
      <c r="H21" s="1" t="s">
        <v>87</v>
      </c>
      <c r="I21" s="1" t="s">
        <v>114</v>
      </c>
      <c r="J21" s="65">
        <v>4</v>
      </c>
      <c r="K21" s="32">
        <v>44562</v>
      </c>
    </row>
    <row r="22" spans="1:11" ht="75" x14ac:dyDescent="0.25">
      <c r="A22" t="s">
        <v>502</v>
      </c>
      <c r="B22" t="s">
        <v>365</v>
      </c>
      <c r="C22" t="s">
        <v>371</v>
      </c>
      <c r="D22" s="1" t="s">
        <v>248</v>
      </c>
      <c r="E22" s="1" t="s">
        <v>249</v>
      </c>
      <c r="F22" s="1" t="s">
        <v>250</v>
      </c>
      <c r="G22" s="1" t="s">
        <v>251</v>
      </c>
      <c r="H22" s="1" t="s">
        <v>252</v>
      </c>
      <c r="I22" s="1" t="s">
        <v>253</v>
      </c>
      <c r="J22" s="65">
        <v>2</v>
      </c>
      <c r="K22" s="32">
        <v>44562</v>
      </c>
    </row>
    <row r="23" spans="1:11" ht="30" x14ac:dyDescent="0.25">
      <c r="A23" t="s">
        <v>503</v>
      </c>
      <c r="B23" t="s">
        <v>365</v>
      </c>
      <c r="C23" t="s">
        <v>371</v>
      </c>
      <c r="D23" s="1" t="s">
        <v>254</v>
      </c>
      <c r="E23" s="1" t="s">
        <v>43</v>
      </c>
      <c r="F23" s="1" t="s">
        <v>44</v>
      </c>
      <c r="G23" s="1" t="s">
        <v>255</v>
      </c>
      <c r="H23" s="1" t="s">
        <v>256</v>
      </c>
      <c r="I23" s="1" t="s">
        <v>257</v>
      </c>
      <c r="J23" s="65">
        <v>3</v>
      </c>
      <c r="K23" s="32">
        <v>44562</v>
      </c>
    </row>
    <row r="24" spans="1:11" ht="75" x14ac:dyDescent="0.25">
      <c r="A24" t="s">
        <v>504</v>
      </c>
      <c r="B24" t="s">
        <v>365</v>
      </c>
      <c r="C24" t="s">
        <v>371</v>
      </c>
      <c r="D24" s="1" t="s">
        <v>258</v>
      </c>
      <c r="E24" s="1" t="s">
        <v>259</v>
      </c>
      <c r="F24" s="1" t="s">
        <v>260</v>
      </c>
      <c r="G24" s="1" t="s">
        <v>261</v>
      </c>
      <c r="H24" s="1" t="s">
        <v>262</v>
      </c>
      <c r="I24" s="1" t="s">
        <v>263</v>
      </c>
      <c r="J24" s="65">
        <v>1</v>
      </c>
      <c r="K24" s="32">
        <v>44562</v>
      </c>
    </row>
    <row r="25" spans="1:11" ht="45" x14ac:dyDescent="0.25">
      <c r="A25" t="s">
        <v>493</v>
      </c>
      <c r="B25" s="1" t="s">
        <v>365</v>
      </c>
      <c r="C25" s="13" t="s">
        <v>374</v>
      </c>
      <c r="D25" s="1" t="s">
        <v>334</v>
      </c>
      <c r="E25" s="1"/>
      <c r="F25" s="1"/>
      <c r="G25" s="1"/>
      <c r="H25" s="1"/>
      <c r="I25" s="1"/>
      <c r="J25" s="65">
        <v>2</v>
      </c>
      <c r="K25" s="32">
        <v>44562</v>
      </c>
    </row>
    <row r="26" spans="1:11" ht="60" x14ac:dyDescent="0.25">
      <c r="A26" t="s">
        <v>494</v>
      </c>
      <c r="B26" s="1" t="s">
        <v>365</v>
      </c>
      <c r="C26" s="13" t="s">
        <v>374</v>
      </c>
      <c r="D26" s="1" t="s">
        <v>335</v>
      </c>
      <c r="E26" s="1"/>
      <c r="F26" s="1"/>
      <c r="G26" s="1"/>
      <c r="H26" s="1"/>
      <c r="I26" s="1"/>
      <c r="J26" s="65">
        <v>3</v>
      </c>
      <c r="K26" s="32">
        <v>44562</v>
      </c>
    </row>
    <row r="27" spans="1:11" ht="45" x14ac:dyDescent="0.25">
      <c r="A27" t="s">
        <v>495</v>
      </c>
      <c r="B27" s="1" t="s">
        <v>365</v>
      </c>
      <c r="C27" s="13" t="s">
        <v>374</v>
      </c>
      <c r="D27" s="1" t="s">
        <v>336</v>
      </c>
      <c r="E27" s="1"/>
      <c r="F27" s="1"/>
      <c r="G27" s="1"/>
      <c r="H27" s="1"/>
      <c r="I27" s="1"/>
      <c r="J27" s="65"/>
      <c r="K27" s="32">
        <v>44562</v>
      </c>
    </row>
    <row r="28" spans="1:11" ht="30" x14ac:dyDescent="0.25">
      <c r="A28" t="s">
        <v>496</v>
      </c>
      <c r="B28" s="1" t="s">
        <v>365</v>
      </c>
      <c r="C28" s="13" t="s">
        <v>374</v>
      </c>
      <c r="D28" s="1" t="s">
        <v>337</v>
      </c>
      <c r="E28" s="1"/>
      <c r="F28" s="1"/>
      <c r="G28" s="1"/>
      <c r="H28" s="1"/>
      <c r="I28" s="1"/>
      <c r="J28" s="65"/>
      <c r="K28" s="32">
        <v>44562</v>
      </c>
    </row>
    <row r="29" spans="1:11" ht="30" x14ac:dyDescent="0.25">
      <c r="A29" t="s">
        <v>497</v>
      </c>
      <c r="B29" s="1" t="s">
        <v>365</v>
      </c>
      <c r="C29" s="13" t="s">
        <v>374</v>
      </c>
      <c r="D29" s="1" t="s">
        <v>338</v>
      </c>
      <c r="E29" s="1"/>
      <c r="F29" s="1"/>
      <c r="G29" s="1"/>
      <c r="H29" s="1"/>
      <c r="I29" s="1"/>
      <c r="J29" s="65">
        <v>2</v>
      </c>
      <c r="K29" s="32">
        <v>44562</v>
      </c>
    </row>
    <row r="30" spans="1:11" ht="45" x14ac:dyDescent="0.25">
      <c r="A30" t="s">
        <v>498</v>
      </c>
      <c r="B30" s="1" t="s">
        <v>365</v>
      </c>
      <c r="C30" s="13" t="s">
        <v>374</v>
      </c>
      <c r="D30" s="1" t="s">
        <v>339</v>
      </c>
      <c r="E30" s="1"/>
      <c r="F30" s="1"/>
      <c r="G30" s="1"/>
      <c r="H30" s="1"/>
      <c r="I30" s="1"/>
      <c r="J30" s="65">
        <v>3</v>
      </c>
      <c r="K30" s="32">
        <v>44562</v>
      </c>
    </row>
    <row r="31" spans="1:11" ht="30" x14ac:dyDescent="0.25">
      <c r="A31" t="s">
        <v>499</v>
      </c>
      <c r="B31" s="1" t="s">
        <v>365</v>
      </c>
      <c r="C31" s="13" t="s">
        <v>374</v>
      </c>
      <c r="D31" s="1" t="s">
        <v>340</v>
      </c>
      <c r="E31" s="1"/>
      <c r="F31" s="1"/>
      <c r="G31" s="1"/>
      <c r="H31" s="1"/>
      <c r="I31" s="1"/>
      <c r="J31" s="65">
        <v>1</v>
      </c>
      <c r="K31" s="32">
        <v>44562</v>
      </c>
    </row>
    <row r="32" spans="1:11" ht="60" x14ac:dyDescent="0.25">
      <c r="A32" t="s">
        <v>500</v>
      </c>
      <c r="B32" s="1" t="s">
        <v>365</v>
      </c>
      <c r="C32" s="13" t="s">
        <v>374</v>
      </c>
      <c r="D32" s="1" t="s">
        <v>341</v>
      </c>
      <c r="E32" s="1"/>
      <c r="F32" s="1"/>
      <c r="G32" s="1"/>
      <c r="H32" s="1"/>
      <c r="I32" s="1"/>
      <c r="J32" s="65">
        <v>4</v>
      </c>
      <c r="K32" s="32">
        <v>44562</v>
      </c>
    </row>
    <row r="33" spans="1:11" ht="90" x14ac:dyDescent="0.25">
      <c r="A33" t="s">
        <v>501</v>
      </c>
      <c r="B33" s="1" t="s">
        <v>365</v>
      </c>
      <c r="C33" s="13" t="s">
        <v>374</v>
      </c>
      <c r="D33" s="1" t="s">
        <v>342</v>
      </c>
      <c r="E33" s="1"/>
      <c r="F33" s="1"/>
      <c r="G33" s="1"/>
      <c r="H33" s="1"/>
      <c r="I33" s="1"/>
      <c r="J33" s="65">
        <v>2</v>
      </c>
      <c r="K33" s="32">
        <v>44562</v>
      </c>
    </row>
  </sheetData>
  <sheetProtection password="E0C0" sheet="1" objects="1" scenarios="1"/>
  <protectedRanges>
    <protectedRange sqref="J7:J33" name="tabel"/>
  </protectedRanges>
  <mergeCells count="2">
    <mergeCell ref="E1:G1"/>
    <mergeCell ref="E2:G2"/>
  </mergeCells>
  <conditionalFormatting sqref="J7:J33">
    <cfRule type="containsBlanks" dxfId="49" priority="3">
      <formula>LEN(TRIM(J7))=0</formula>
    </cfRule>
  </conditionalFormatting>
  <conditionalFormatting sqref="I4:I5">
    <cfRule type="containsText" dxfId="48" priority="2" operator="containsText" text="Data belum komplit">
      <formula>NOT(ISERROR(SEARCH("Data belum komplit",I4)))</formula>
    </cfRule>
  </conditionalFormatting>
  <conditionalFormatting sqref="I4">
    <cfRule type="containsText" dxfId="47" priority="1" operator="containsText" text="Data komplit">
      <formula>NOT(ISERROR(SEARCH("Data komplit",I4)))</formula>
    </cfRule>
  </conditionalFormatting>
  <dataValidations count="2">
    <dataValidation type="list" allowBlank="1" showInputMessage="1" showErrorMessage="1" error="Hanya bisa diisi 1-5" promptTitle="Petunjuk" prompt="Isi angka 1-5" sqref="J7:J33">
      <formula1>"1,2,3,4,5"</formula1>
    </dataValidation>
    <dataValidation type="textLength" operator="equal" allowBlank="1" showInputMessage="1" showErrorMessage="1" errorTitle="Error" error="Tidak bisa input data di sini" promptTitle="Error" prompt="Tidak bisa input data di sini" sqref="J34:J100">
      <formula1>0</formula1>
    </dataValidation>
  </dataValidations>
  <pageMargins left="0.7" right="0.7" top="0.75" bottom="0.75" header="0.3" footer="0.3"/>
  <pageSetup paperSize="9" orientation="portrait" horizontalDpi="4294967292" verticalDpi="0" r:id="rId1"/>
  <drawing r:id="rId2"/>
  <legacyDrawing r:id="rId3"/>
  <controls>
    <mc:AlternateContent xmlns:mc="http://schemas.openxmlformats.org/markup-compatibility/2006">
      <mc:Choice Requires="x14">
        <control shapeId="22548" r:id="rId4" name="tab_grafik">
          <controlPr defaultSize="0" autoLine="0" r:id="rId5">
            <anchor moveWithCells="1">
              <from>
                <xdr:col>7</xdr:col>
                <xdr:colOff>85725</xdr:colOff>
                <xdr:row>0</xdr:row>
                <xdr:rowOff>57150</xdr:rowOff>
              </from>
              <to>
                <xdr:col>7</xdr:col>
                <xdr:colOff>771525</xdr:colOff>
                <xdr:row>0</xdr:row>
                <xdr:rowOff>323850</xdr:rowOff>
              </to>
            </anchor>
          </controlPr>
        </control>
      </mc:Choice>
      <mc:Fallback>
        <control shapeId="22548" r:id="rId4" name="tab_grafik"/>
      </mc:Fallback>
    </mc:AlternateContent>
    <mc:AlternateContent xmlns:mc="http://schemas.openxmlformats.org/markup-compatibility/2006">
      <mc:Choice Requires="x14">
        <control shapeId="22547" r:id="rId6" name="tab_chart">
          <controlPr defaultSize="0" autoLine="0" r:id="rId7">
            <anchor moveWithCells="1">
              <from>
                <xdr:col>6</xdr:col>
                <xdr:colOff>742950</xdr:colOff>
                <xdr:row>0</xdr:row>
                <xdr:rowOff>57150</xdr:rowOff>
              </from>
              <to>
                <xdr:col>6</xdr:col>
                <xdr:colOff>1266825</xdr:colOff>
                <xdr:row>0</xdr:row>
                <xdr:rowOff>323850</xdr:rowOff>
              </to>
            </anchor>
          </controlPr>
        </control>
      </mc:Choice>
      <mc:Fallback>
        <control shapeId="22547" r:id="rId6" name="tab_chart"/>
      </mc:Fallback>
    </mc:AlternateContent>
    <mc:AlternateContent xmlns:mc="http://schemas.openxmlformats.org/markup-compatibility/2006">
      <mc:Choice Requires="x14">
        <control shapeId="22546" r:id="rId8" name="submit_kepatuhan">
          <controlPr defaultSize="0" autoLine="0" r:id="rId9">
            <anchor moveWithCells="1">
              <from>
                <xdr:col>9</xdr:col>
                <xdr:colOff>419100</xdr:colOff>
                <xdr:row>2</xdr:row>
                <xdr:rowOff>152400</xdr:rowOff>
              </from>
              <to>
                <xdr:col>10</xdr:col>
                <xdr:colOff>704850</xdr:colOff>
                <xdr:row>4</xdr:row>
                <xdr:rowOff>38100</xdr:rowOff>
              </to>
            </anchor>
          </controlPr>
        </control>
      </mc:Choice>
      <mc:Fallback>
        <control shapeId="22546" r:id="rId8" name="submit_kepatuhan"/>
      </mc:Fallback>
    </mc:AlternateContent>
    <mc:AlternateContent xmlns:mc="http://schemas.openxmlformats.org/markup-compatibility/2006">
      <mc:Choice Requires="x14">
        <control shapeId="22545" r:id="rId10" name="clear_filter_kepatuhan">
          <controlPr defaultSize="0" autoLine="0" r:id="rId11">
            <anchor moveWithCells="1">
              <from>
                <xdr:col>3</xdr:col>
                <xdr:colOff>1847850</xdr:colOff>
                <xdr:row>3</xdr:row>
                <xdr:rowOff>38100</xdr:rowOff>
              </from>
              <to>
                <xdr:col>4</xdr:col>
                <xdr:colOff>666750</xdr:colOff>
                <xdr:row>4</xdr:row>
                <xdr:rowOff>133350</xdr:rowOff>
              </to>
            </anchor>
          </controlPr>
        </control>
      </mc:Choice>
      <mc:Fallback>
        <control shapeId="22545" r:id="rId10" name="clear_filter_kepatuhan"/>
      </mc:Fallback>
    </mc:AlternateContent>
    <mc:AlternateContent xmlns:mc="http://schemas.openxmlformats.org/markup-compatibility/2006">
      <mc:Choice Requires="x14">
        <control shapeId="22544" r:id="rId12" name="filter_blank_kepatuhan">
          <controlPr defaultSize="0" autoLine="0" r:id="rId13">
            <anchor moveWithCells="1">
              <from>
                <xdr:col>4</xdr:col>
                <xdr:colOff>800100</xdr:colOff>
                <xdr:row>3</xdr:row>
                <xdr:rowOff>38100</xdr:rowOff>
              </from>
              <to>
                <xdr:col>5</xdr:col>
                <xdr:colOff>733425</xdr:colOff>
                <xdr:row>4</xdr:row>
                <xdr:rowOff>133350</xdr:rowOff>
              </to>
            </anchor>
          </controlPr>
        </control>
      </mc:Choice>
      <mc:Fallback>
        <control shapeId="22544" r:id="rId12" name="filter_blank_kepatuhan"/>
      </mc:Fallback>
    </mc:AlternateContent>
    <mc:AlternateContent xmlns:mc="http://schemas.openxmlformats.org/markup-compatibility/2006">
      <mc:Choice Requires="x14">
        <control shapeId="22543" r:id="rId14" name="filter_indikator_kepatuhan">
          <controlPr defaultSize="0" autoLine="0" r:id="rId15">
            <anchor moveWithCells="1">
              <from>
                <xdr:col>3</xdr:col>
                <xdr:colOff>466725</xdr:colOff>
                <xdr:row>3</xdr:row>
                <xdr:rowOff>38100</xdr:rowOff>
              </from>
              <to>
                <xdr:col>3</xdr:col>
                <xdr:colOff>1704975</xdr:colOff>
                <xdr:row>4</xdr:row>
                <xdr:rowOff>133350</xdr:rowOff>
              </to>
            </anchor>
          </controlPr>
        </control>
      </mc:Choice>
      <mc:Fallback>
        <control shapeId="22543" r:id="rId14" name="filter_indikator_kepatuhan"/>
      </mc:Fallback>
    </mc:AlternateContent>
    <mc:AlternateContent xmlns:mc="http://schemas.openxmlformats.org/markup-compatibility/2006">
      <mc:Choice Requires="x14">
        <control shapeId="22542" r:id="rId16" name="filter_peringkat_kepatuhan">
          <controlPr defaultSize="0" autoLine="0" r:id="rId17">
            <anchor moveWithCells="1">
              <from>
                <xdr:col>2</xdr:col>
                <xdr:colOff>266700</xdr:colOff>
                <xdr:row>3</xdr:row>
                <xdr:rowOff>38100</xdr:rowOff>
              </from>
              <to>
                <xdr:col>3</xdr:col>
                <xdr:colOff>361950</xdr:colOff>
                <xdr:row>4</xdr:row>
                <xdr:rowOff>133350</xdr:rowOff>
              </to>
            </anchor>
          </controlPr>
        </control>
      </mc:Choice>
      <mc:Fallback>
        <control shapeId="22542" r:id="rId16" name="filter_peringkat_kepatuhan"/>
      </mc:Fallback>
    </mc:AlternateContent>
    <mc:AlternateContent xmlns:mc="http://schemas.openxmlformats.org/markup-compatibility/2006">
      <mc:Choice Requires="x14">
        <control shapeId="22541" r:id="rId18" name="kpmr_kepatuhan">
          <controlPr defaultSize="0" autoLine="0" r:id="rId19">
            <anchor moveWithCells="1">
              <from>
                <xdr:col>0</xdr:col>
                <xdr:colOff>66675</xdr:colOff>
                <xdr:row>3</xdr:row>
                <xdr:rowOff>38100</xdr:rowOff>
              </from>
              <to>
                <xdr:col>2</xdr:col>
                <xdr:colOff>171450</xdr:colOff>
                <xdr:row>4</xdr:row>
                <xdr:rowOff>133350</xdr:rowOff>
              </to>
            </anchor>
          </controlPr>
        </control>
      </mc:Choice>
      <mc:Fallback>
        <control shapeId="22541" r:id="rId18" name="kpmr_kepatuhan"/>
      </mc:Fallback>
    </mc:AlternateContent>
    <mc:AlternateContent xmlns:mc="http://schemas.openxmlformats.org/markup-compatibility/2006">
      <mc:Choice Requires="x14">
        <control shapeId="22540" r:id="rId20" name="pilih_periode_kepatuhan">
          <controlPr defaultSize="0" autoLine="0" r:id="rId21">
            <anchor moveWithCells="1">
              <from>
                <xdr:col>4</xdr:col>
                <xdr:colOff>9525</xdr:colOff>
                <xdr:row>1</xdr:row>
                <xdr:rowOff>9525</xdr:rowOff>
              </from>
              <to>
                <xdr:col>4</xdr:col>
                <xdr:colOff>800100</xdr:colOff>
                <xdr:row>2</xdr:row>
                <xdr:rowOff>9525</xdr:rowOff>
              </to>
            </anchor>
          </controlPr>
        </control>
      </mc:Choice>
      <mc:Fallback>
        <control shapeId="22540" r:id="rId20" name="pilih_periode_kepatuhan"/>
      </mc:Fallback>
    </mc:AlternateContent>
    <mc:AlternateContent xmlns:mc="http://schemas.openxmlformats.org/markup-compatibility/2006">
      <mc:Choice Requires="x14">
        <control shapeId="22539" r:id="rId22" name="tab_main_menu">
          <controlPr defaultSize="0" autoLine="0" r:id="rId23">
            <anchor moveWithCells="1">
              <from>
                <xdr:col>0</xdr:col>
                <xdr:colOff>85725</xdr:colOff>
                <xdr:row>0</xdr:row>
                <xdr:rowOff>57150</xdr:rowOff>
              </from>
              <to>
                <xdr:col>2</xdr:col>
                <xdr:colOff>276225</xdr:colOff>
                <xdr:row>0</xdr:row>
                <xdr:rowOff>323850</xdr:rowOff>
              </to>
            </anchor>
          </controlPr>
        </control>
      </mc:Choice>
      <mc:Fallback>
        <control shapeId="22539" r:id="rId22" name="tab_main_menu"/>
      </mc:Fallback>
    </mc:AlternateContent>
  </controls>
  <tableParts count="1">
    <tablePart r:id="rId2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K41"/>
  <sheetViews>
    <sheetView showGridLines="0" workbookViewId="0">
      <pane ySplit="6" topLeftCell="A7" activePane="bottomLeft" state="frozen"/>
      <selection pane="bottomLeft" activeCell="J30" sqref="J30"/>
    </sheetView>
  </sheetViews>
  <sheetFormatPr defaultRowHeight="15" x14ac:dyDescent="0.25"/>
  <cols>
    <col min="1" max="1" width="10.140625" customWidth="1"/>
    <col min="2" max="2" width="17" hidden="1" customWidth="1"/>
    <col min="3" max="3" width="17.85546875" bestFit="1" customWidth="1"/>
    <col min="4" max="4" width="35.5703125" customWidth="1"/>
    <col min="5" max="5" width="17.85546875" bestFit="1" customWidth="1"/>
    <col min="6" max="6" width="21.42578125" customWidth="1"/>
    <col min="7" max="7" width="19.140625" bestFit="1" customWidth="1"/>
    <col min="8" max="8" width="21.7109375" customWidth="1"/>
    <col min="9" max="9" width="19.85546875" customWidth="1"/>
    <col min="10" max="10" width="9.28515625" customWidth="1"/>
    <col min="11" max="11" width="10.7109375" bestFit="1" customWidth="1"/>
  </cols>
  <sheetData>
    <row r="1" spans="1:11" ht="26.25" x14ac:dyDescent="0.4">
      <c r="E1" s="87" t="s">
        <v>297</v>
      </c>
      <c r="F1" s="87"/>
      <c r="G1" s="87"/>
      <c r="H1" s="3"/>
    </row>
    <row r="2" spans="1:11" ht="18.75" x14ac:dyDescent="0.25">
      <c r="A2" s="50"/>
      <c r="E2" s="88">
        <v>44562</v>
      </c>
      <c r="F2" s="89"/>
      <c r="G2" s="89"/>
    </row>
    <row r="4" spans="1:11" x14ac:dyDescent="0.25">
      <c r="I4" s="49" t="str">
        <f>IF(COUNTBLANK($J$7:$J$41)&gt;0,"Data belum komplit", "Data komplit")</f>
        <v>Data belum komplit</v>
      </c>
      <c r="J4" s="47"/>
    </row>
    <row r="5" spans="1:11" x14ac:dyDescent="0.25">
      <c r="I5" s="48"/>
    </row>
    <row r="6" spans="1:11" ht="30" x14ac:dyDescent="0.25">
      <c r="A6" s="28" t="s">
        <v>83</v>
      </c>
      <c r="B6" s="29" t="s">
        <v>14</v>
      </c>
      <c r="C6" s="28" t="s">
        <v>373</v>
      </c>
      <c r="D6" s="30" t="s">
        <v>382</v>
      </c>
      <c r="E6" s="30" t="s">
        <v>375</v>
      </c>
      <c r="F6" s="30" t="s">
        <v>556</v>
      </c>
      <c r="G6" s="30" t="s">
        <v>377</v>
      </c>
      <c r="H6" s="30" t="s">
        <v>378</v>
      </c>
      <c r="I6" s="30" t="s">
        <v>379</v>
      </c>
      <c r="J6" s="30" t="s">
        <v>357</v>
      </c>
      <c r="K6" s="30" t="s">
        <v>13</v>
      </c>
    </row>
    <row r="7" spans="1:11" ht="75" x14ac:dyDescent="0.25">
      <c r="A7" s="34" t="s">
        <v>540</v>
      </c>
      <c r="B7" s="34" t="s">
        <v>363</v>
      </c>
      <c r="C7" s="34" t="s">
        <v>372</v>
      </c>
      <c r="D7" s="35" t="s">
        <v>42</v>
      </c>
      <c r="E7" s="35" t="s">
        <v>375</v>
      </c>
      <c r="F7" s="35" t="s">
        <v>556</v>
      </c>
      <c r="G7" s="35" t="s">
        <v>377</v>
      </c>
      <c r="H7" s="35" t="s">
        <v>378</v>
      </c>
      <c r="I7" s="35" t="s">
        <v>379</v>
      </c>
      <c r="J7" s="65"/>
      <c r="K7" s="32">
        <v>44562</v>
      </c>
    </row>
    <row r="8" spans="1:11" ht="105" x14ac:dyDescent="0.25">
      <c r="A8" s="34" t="s">
        <v>541</v>
      </c>
      <c r="B8" s="34" t="s">
        <v>363</v>
      </c>
      <c r="C8" s="34" t="s">
        <v>372</v>
      </c>
      <c r="D8" s="35" t="s">
        <v>186</v>
      </c>
      <c r="E8" s="35" t="s">
        <v>43</v>
      </c>
      <c r="F8" s="35" t="s">
        <v>44</v>
      </c>
      <c r="G8" s="35" t="s">
        <v>45</v>
      </c>
      <c r="H8" s="35" t="s">
        <v>64</v>
      </c>
      <c r="I8" s="35" t="s">
        <v>65</v>
      </c>
      <c r="J8" s="65"/>
      <c r="K8" s="32">
        <v>44562</v>
      </c>
    </row>
    <row r="9" spans="1:11" ht="105" x14ac:dyDescent="0.25">
      <c r="A9" s="34" t="s">
        <v>542</v>
      </c>
      <c r="B9" s="34" t="s">
        <v>363</v>
      </c>
      <c r="C9" s="34" t="s">
        <v>372</v>
      </c>
      <c r="D9" s="35" t="s">
        <v>187</v>
      </c>
      <c r="E9" s="35" t="s">
        <v>52</v>
      </c>
      <c r="F9" s="35" t="s">
        <v>51</v>
      </c>
      <c r="G9" s="35" t="s">
        <v>50</v>
      </c>
      <c r="H9" s="35" t="s">
        <v>49</v>
      </c>
      <c r="I9" s="35" t="s">
        <v>48</v>
      </c>
      <c r="J9" s="65"/>
      <c r="K9" s="32">
        <v>44562</v>
      </c>
    </row>
    <row r="10" spans="1:11" ht="135" x14ac:dyDescent="0.25">
      <c r="A10" s="34" t="s">
        <v>543</v>
      </c>
      <c r="B10" s="34" t="s">
        <v>363</v>
      </c>
      <c r="C10" s="34" t="s">
        <v>372</v>
      </c>
      <c r="D10" s="35" t="s">
        <v>55</v>
      </c>
      <c r="E10" s="35" t="s">
        <v>34</v>
      </c>
      <c r="F10" s="35" t="s">
        <v>54</v>
      </c>
      <c r="G10" s="35" t="s">
        <v>53</v>
      </c>
      <c r="H10" s="35" t="s">
        <v>56</v>
      </c>
      <c r="I10" s="35" t="s">
        <v>57</v>
      </c>
      <c r="J10" s="65"/>
      <c r="K10" s="32">
        <v>44562</v>
      </c>
    </row>
    <row r="11" spans="1:11" ht="135" x14ac:dyDescent="0.25">
      <c r="A11" s="34" t="s">
        <v>544</v>
      </c>
      <c r="B11" s="34" t="s">
        <v>363</v>
      </c>
      <c r="C11" s="34" t="s">
        <v>372</v>
      </c>
      <c r="D11" s="35" t="s">
        <v>188</v>
      </c>
      <c r="E11" s="35" t="s">
        <v>58</v>
      </c>
      <c r="F11" s="35" t="s">
        <v>60</v>
      </c>
      <c r="G11" s="35" t="s">
        <v>61</v>
      </c>
      <c r="H11" s="35" t="s">
        <v>62</v>
      </c>
      <c r="I11" s="35" t="s">
        <v>63</v>
      </c>
      <c r="J11" s="65"/>
      <c r="K11" s="32">
        <v>44562</v>
      </c>
    </row>
    <row r="12" spans="1:11" ht="75" x14ac:dyDescent="0.25">
      <c r="A12" s="34" t="s">
        <v>545</v>
      </c>
      <c r="B12" s="34" t="s">
        <v>363</v>
      </c>
      <c r="C12" s="34" t="s">
        <v>372</v>
      </c>
      <c r="D12" s="35" t="s">
        <v>68</v>
      </c>
      <c r="E12" s="35" t="s">
        <v>69</v>
      </c>
      <c r="F12" s="35" t="s">
        <v>70</v>
      </c>
      <c r="G12" s="35" t="s">
        <v>66</v>
      </c>
      <c r="H12" s="35" t="s">
        <v>67</v>
      </c>
      <c r="I12" s="35" t="s">
        <v>71</v>
      </c>
      <c r="J12" s="65"/>
      <c r="K12" s="32">
        <v>44562</v>
      </c>
    </row>
    <row r="13" spans="1:11" ht="75" x14ac:dyDescent="0.25">
      <c r="A13" s="34" t="s">
        <v>546</v>
      </c>
      <c r="B13" s="34" t="s">
        <v>363</v>
      </c>
      <c r="C13" s="34" t="s">
        <v>372</v>
      </c>
      <c r="D13" s="35" t="s">
        <v>189</v>
      </c>
      <c r="E13" s="35" t="s">
        <v>73</v>
      </c>
      <c r="F13" s="35" t="s">
        <v>74</v>
      </c>
      <c r="G13" s="35" t="s">
        <v>75</v>
      </c>
      <c r="H13" s="35" t="s">
        <v>76</v>
      </c>
      <c r="I13" s="35" t="s">
        <v>77</v>
      </c>
      <c r="J13" s="65"/>
      <c r="K13" s="32">
        <v>44562</v>
      </c>
    </row>
    <row r="14" spans="1:11" ht="150" x14ac:dyDescent="0.25">
      <c r="A14" s="34" t="s">
        <v>547</v>
      </c>
      <c r="B14" s="34" t="s">
        <v>363</v>
      </c>
      <c r="C14" s="34" t="s">
        <v>372</v>
      </c>
      <c r="D14" s="35" t="s">
        <v>190</v>
      </c>
      <c r="E14" s="35" t="s">
        <v>191</v>
      </c>
      <c r="F14" s="35" t="s">
        <v>192</v>
      </c>
      <c r="G14" s="35" t="s">
        <v>80</v>
      </c>
      <c r="H14" s="35" t="s">
        <v>81</v>
      </c>
      <c r="I14" s="35" t="s">
        <v>82</v>
      </c>
      <c r="J14" s="65"/>
      <c r="K14" s="32">
        <v>44562</v>
      </c>
    </row>
    <row r="15" spans="1:11" ht="75" x14ac:dyDescent="0.25">
      <c r="A15" s="34" t="s">
        <v>548</v>
      </c>
      <c r="B15" s="34" t="s">
        <v>363</v>
      </c>
      <c r="C15" s="34" t="s">
        <v>372</v>
      </c>
      <c r="D15" s="35" t="s">
        <v>193</v>
      </c>
      <c r="E15" s="35" t="s">
        <v>34</v>
      </c>
      <c r="F15" s="35" t="s">
        <v>35</v>
      </c>
      <c r="G15" s="35" t="s">
        <v>86</v>
      </c>
      <c r="H15" s="35" t="s">
        <v>87</v>
      </c>
      <c r="I15" s="35" t="s">
        <v>88</v>
      </c>
      <c r="J15" s="65"/>
      <c r="K15" s="32">
        <v>44562</v>
      </c>
    </row>
    <row r="16" spans="1:11" ht="165" x14ac:dyDescent="0.25">
      <c r="A16" s="34" t="s">
        <v>549</v>
      </c>
      <c r="B16" s="34" t="s">
        <v>363</v>
      </c>
      <c r="C16" s="34" t="s">
        <v>372</v>
      </c>
      <c r="D16" s="35" t="s">
        <v>194</v>
      </c>
      <c r="E16" s="35" t="s">
        <v>195</v>
      </c>
      <c r="F16" s="35" t="s">
        <v>196</v>
      </c>
      <c r="G16" s="35" t="s">
        <v>91</v>
      </c>
      <c r="H16" s="35" t="s">
        <v>92</v>
      </c>
      <c r="I16" s="35" t="s">
        <v>93</v>
      </c>
      <c r="J16" s="65"/>
      <c r="K16" s="32">
        <v>44562</v>
      </c>
    </row>
    <row r="17" spans="1:11" ht="60" x14ac:dyDescent="0.25">
      <c r="A17" s="34" t="s">
        <v>550</v>
      </c>
      <c r="B17" s="34" t="s">
        <v>363</v>
      </c>
      <c r="C17" s="34" t="s">
        <v>372</v>
      </c>
      <c r="D17" s="35" t="s">
        <v>197</v>
      </c>
      <c r="E17" s="35" t="s">
        <v>34</v>
      </c>
      <c r="F17" s="35" t="s">
        <v>35</v>
      </c>
      <c r="G17" s="35" t="s">
        <v>86</v>
      </c>
      <c r="H17" s="35" t="s">
        <v>87</v>
      </c>
      <c r="I17" s="35" t="s">
        <v>88</v>
      </c>
      <c r="J17" s="65"/>
      <c r="K17" s="32">
        <v>44562</v>
      </c>
    </row>
    <row r="18" spans="1:11" ht="60" x14ac:dyDescent="0.25">
      <c r="A18" s="34" t="s">
        <v>551</v>
      </c>
      <c r="B18" s="34" t="s">
        <v>363</v>
      </c>
      <c r="C18" s="34" t="s">
        <v>372</v>
      </c>
      <c r="D18" s="35" t="s">
        <v>198</v>
      </c>
      <c r="E18" s="35" t="s">
        <v>95</v>
      </c>
      <c r="F18" s="35" t="s">
        <v>97</v>
      </c>
      <c r="G18" s="35" t="s">
        <v>98</v>
      </c>
      <c r="H18" s="35" t="s">
        <v>99</v>
      </c>
      <c r="I18" s="35" t="s">
        <v>100</v>
      </c>
      <c r="J18" s="65"/>
      <c r="K18" s="32">
        <v>44562</v>
      </c>
    </row>
    <row r="19" spans="1:11" ht="180" x14ac:dyDescent="0.25">
      <c r="A19" s="34" t="s">
        <v>552</v>
      </c>
      <c r="B19" s="34" t="s">
        <v>363</v>
      </c>
      <c r="C19" s="34" t="s">
        <v>372</v>
      </c>
      <c r="D19" s="35" t="s">
        <v>101</v>
      </c>
      <c r="E19" s="35" t="s">
        <v>102</v>
      </c>
      <c r="F19" s="35" t="s">
        <v>103</v>
      </c>
      <c r="G19" s="35" t="s">
        <v>104</v>
      </c>
      <c r="H19" s="35" t="s">
        <v>105</v>
      </c>
      <c r="I19" s="35" t="s">
        <v>106</v>
      </c>
      <c r="J19" s="65"/>
      <c r="K19" s="32">
        <v>44562</v>
      </c>
    </row>
    <row r="20" spans="1:11" ht="90" x14ac:dyDescent="0.25">
      <c r="A20" s="34" t="s">
        <v>553</v>
      </c>
      <c r="B20" s="34" t="s">
        <v>363</v>
      </c>
      <c r="C20" s="34" t="s">
        <v>372</v>
      </c>
      <c r="D20" s="35" t="s">
        <v>109</v>
      </c>
      <c r="E20" s="35" t="s">
        <v>107</v>
      </c>
      <c r="F20" s="35" t="s">
        <v>108</v>
      </c>
      <c r="G20" s="35" t="s">
        <v>110</v>
      </c>
      <c r="H20" s="35" t="s">
        <v>111</v>
      </c>
      <c r="I20" s="35" t="s">
        <v>112</v>
      </c>
      <c r="J20" s="65"/>
      <c r="K20" s="32">
        <v>44562</v>
      </c>
    </row>
    <row r="21" spans="1:11" ht="45" x14ac:dyDescent="0.25">
      <c r="A21" s="34" t="s">
        <v>554</v>
      </c>
      <c r="B21" s="34" t="s">
        <v>363</v>
      </c>
      <c r="C21" s="34" t="s">
        <v>372</v>
      </c>
      <c r="D21" s="35" t="s">
        <v>113</v>
      </c>
      <c r="E21" s="35" t="s">
        <v>34</v>
      </c>
      <c r="F21" s="35" t="s">
        <v>35</v>
      </c>
      <c r="G21" s="35" t="s">
        <v>86</v>
      </c>
      <c r="H21" s="35" t="s">
        <v>87</v>
      </c>
      <c r="I21" s="35" t="s">
        <v>114</v>
      </c>
      <c r="J21" s="65"/>
      <c r="K21" s="32">
        <v>44562</v>
      </c>
    </row>
    <row r="22" spans="1:11" ht="195" x14ac:dyDescent="0.25">
      <c r="A22" s="34" t="s">
        <v>534</v>
      </c>
      <c r="B22" s="34" t="s">
        <v>364</v>
      </c>
      <c r="C22" s="34" t="s">
        <v>371</v>
      </c>
      <c r="D22" s="35" t="s">
        <v>266</v>
      </c>
      <c r="E22" s="35" t="s">
        <v>264</v>
      </c>
      <c r="F22" s="35" t="s">
        <v>265</v>
      </c>
      <c r="G22" s="35" t="s">
        <v>267</v>
      </c>
      <c r="H22" s="35" t="s">
        <v>268</v>
      </c>
      <c r="I22" s="35" t="s">
        <v>269</v>
      </c>
      <c r="J22" s="65"/>
      <c r="K22" s="32">
        <v>44562</v>
      </c>
    </row>
    <row r="23" spans="1:11" ht="150" x14ac:dyDescent="0.25">
      <c r="A23" s="34" t="s">
        <v>535</v>
      </c>
      <c r="B23" s="34" t="s">
        <v>364</v>
      </c>
      <c r="C23" s="34" t="s">
        <v>371</v>
      </c>
      <c r="D23" s="35" t="s">
        <v>270</v>
      </c>
      <c r="E23" s="35" t="s">
        <v>271</v>
      </c>
      <c r="F23" s="35" t="s">
        <v>272</v>
      </c>
      <c r="G23" s="35" t="s">
        <v>273</v>
      </c>
      <c r="H23" s="35" t="s">
        <v>275</v>
      </c>
      <c r="I23" s="35" t="s">
        <v>274</v>
      </c>
      <c r="J23" s="65"/>
      <c r="K23" s="32">
        <v>44562</v>
      </c>
    </row>
    <row r="24" spans="1:11" ht="90" x14ac:dyDescent="0.25">
      <c r="A24" s="34" t="s">
        <v>536</v>
      </c>
      <c r="B24" s="34" t="s">
        <v>364</v>
      </c>
      <c r="C24" s="34" t="s">
        <v>371</v>
      </c>
      <c r="D24" s="35" t="s">
        <v>276</v>
      </c>
      <c r="E24" s="35" t="s">
        <v>277</v>
      </c>
      <c r="F24" s="35" t="s">
        <v>278</v>
      </c>
      <c r="G24" s="35" t="s">
        <v>279</v>
      </c>
      <c r="H24" s="35" t="s">
        <v>280</v>
      </c>
      <c r="I24" s="35" t="s">
        <v>281</v>
      </c>
      <c r="J24" s="65"/>
      <c r="K24" s="32">
        <v>44562</v>
      </c>
    </row>
    <row r="25" spans="1:11" ht="45" x14ac:dyDescent="0.25">
      <c r="A25" s="34" t="s">
        <v>537</v>
      </c>
      <c r="B25" s="34" t="s">
        <v>364</v>
      </c>
      <c r="C25" s="34" t="s">
        <v>371</v>
      </c>
      <c r="D25" s="35" t="s">
        <v>282</v>
      </c>
      <c r="E25" s="35" t="s">
        <v>283</v>
      </c>
      <c r="F25" s="35" t="s">
        <v>284</v>
      </c>
      <c r="G25" s="35" t="s">
        <v>285</v>
      </c>
      <c r="H25" s="35" t="s">
        <v>286</v>
      </c>
      <c r="I25" s="35" t="s">
        <v>287</v>
      </c>
      <c r="J25" s="65"/>
      <c r="K25" s="32">
        <v>44562</v>
      </c>
    </row>
    <row r="26" spans="1:11" ht="45" x14ac:dyDescent="0.25">
      <c r="A26" s="34" t="s">
        <v>538</v>
      </c>
      <c r="B26" s="34" t="s">
        <v>364</v>
      </c>
      <c r="C26" s="34" t="s">
        <v>371</v>
      </c>
      <c r="D26" s="35" t="s">
        <v>288</v>
      </c>
      <c r="E26" s="35" t="s">
        <v>283</v>
      </c>
      <c r="F26" s="35" t="s">
        <v>284</v>
      </c>
      <c r="G26" s="35" t="s">
        <v>285</v>
      </c>
      <c r="H26" s="35" t="s">
        <v>286</v>
      </c>
      <c r="I26" s="35" t="s">
        <v>287</v>
      </c>
      <c r="J26" s="65"/>
      <c r="K26" s="32">
        <v>44562</v>
      </c>
    </row>
    <row r="27" spans="1:11" ht="30" x14ac:dyDescent="0.25">
      <c r="A27" s="34" t="s">
        <v>539</v>
      </c>
      <c r="B27" s="34" t="s">
        <v>364</v>
      </c>
      <c r="C27" s="34" t="s">
        <v>371</v>
      </c>
      <c r="D27" s="35" t="s">
        <v>289</v>
      </c>
      <c r="E27" s="35" t="s">
        <v>290</v>
      </c>
      <c r="F27" s="35" t="s">
        <v>291</v>
      </c>
      <c r="G27" s="35" t="s">
        <v>292</v>
      </c>
      <c r="H27" s="35" t="s">
        <v>293</v>
      </c>
      <c r="I27" s="35" t="s">
        <v>294</v>
      </c>
      <c r="J27" s="65"/>
      <c r="K27" s="32">
        <v>44562</v>
      </c>
    </row>
    <row r="28" spans="1:11" ht="23.25" x14ac:dyDescent="0.25">
      <c r="A28" s="34" t="s">
        <v>520</v>
      </c>
      <c r="B28" s="35" t="s">
        <v>364</v>
      </c>
      <c r="C28" s="73" t="s">
        <v>374</v>
      </c>
      <c r="D28" s="35" t="s">
        <v>343</v>
      </c>
      <c r="E28" s="35"/>
      <c r="F28" s="35"/>
      <c r="G28" s="35"/>
      <c r="H28" s="35"/>
      <c r="I28" s="35"/>
      <c r="J28" s="65"/>
      <c r="K28" s="32">
        <v>44562</v>
      </c>
    </row>
    <row r="29" spans="1:11" ht="30" x14ac:dyDescent="0.25">
      <c r="A29" s="34" t="s">
        <v>521</v>
      </c>
      <c r="B29" s="35" t="s">
        <v>364</v>
      </c>
      <c r="C29" s="73" t="s">
        <v>374</v>
      </c>
      <c r="D29" s="35" t="s">
        <v>344</v>
      </c>
      <c r="E29" s="35"/>
      <c r="F29" s="35"/>
      <c r="G29" s="35"/>
      <c r="H29" s="35"/>
      <c r="I29" s="35"/>
      <c r="J29" s="65">
        <v>2</v>
      </c>
      <c r="K29" s="32">
        <v>44562</v>
      </c>
    </row>
    <row r="30" spans="1:11" ht="23.25" x14ac:dyDescent="0.25">
      <c r="A30" s="34" t="s">
        <v>522</v>
      </c>
      <c r="B30" s="35" t="s">
        <v>364</v>
      </c>
      <c r="C30" s="73" t="s">
        <v>374</v>
      </c>
      <c r="D30" s="35" t="s">
        <v>346</v>
      </c>
      <c r="E30" s="35"/>
      <c r="F30" s="35"/>
      <c r="G30" s="35"/>
      <c r="H30" s="35"/>
      <c r="I30" s="35"/>
      <c r="J30" s="65"/>
      <c r="K30" s="32">
        <v>44562</v>
      </c>
    </row>
    <row r="31" spans="1:11" ht="30" x14ac:dyDescent="0.25">
      <c r="A31" s="34" t="s">
        <v>523</v>
      </c>
      <c r="B31" s="35" t="s">
        <v>364</v>
      </c>
      <c r="C31" s="73" t="s">
        <v>374</v>
      </c>
      <c r="D31" s="35" t="s">
        <v>345</v>
      </c>
      <c r="E31" s="35"/>
      <c r="F31" s="35"/>
      <c r="G31" s="35"/>
      <c r="H31" s="35"/>
      <c r="I31" s="35"/>
      <c r="J31" s="65"/>
      <c r="K31" s="32">
        <v>44562</v>
      </c>
    </row>
    <row r="32" spans="1:11" ht="30" x14ac:dyDescent="0.25">
      <c r="A32" s="34" t="s">
        <v>524</v>
      </c>
      <c r="B32" s="35" t="s">
        <v>364</v>
      </c>
      <c r="C32" s="73" t="s">
        <v>374</v>
      </c>
      <c r="D32" s="35" t="s">
        <v>347</v>
      </c>
      <c r="E32" s="35"/>
      <c r="F32" s="35"/>
      <c r="G32" s="35"/>
      <c r="H32" s="35"/>
      <c r="I32" s="35"/>
      <c r="J32" s="65"/>
      <c r="K32" s="32">
        <v>44562</v>
      </c>
    </row>
    <row r="33" spans="1:11" ht="45" x14ac:dyDescent="0.25">
      <c r="A33" s="34" t="s">
        <v>525</v>
      </c>
      <c r="B33" s="35" t="s">
        <v>364</v>
      </c>
      <c r="C33" s="73" t="s">
        <v>374</v>
      </c>
      <c r="D33" s="35" t="s">
        <v>348</v>
      </c>
      <c r="E33" s="35"/>
      <c r="F33" s="35"/>
      <c r="G33" s="35"/>
      <c r="H33" s="35"/>
      <c r="I33" s="35"/>
      <c r="J33" s="65"/>
      <c r="K33" s="32">
        <v>44562</v>
      </c>
    </row>
    <row r="34" spans="1:11" ht="30" x14ac:dyDescent="0.25">
      <c r="A34" s="34" t="s">
        <v>526</v>
      </c>
      <c r="B34" s="35" t="s">
        <v>364</v>
      </c>
      <c r="C34" s="73" t="s">
        <v>374</v>
      </c>
      <c r="D34" s="35" t="s">
        <v>349</v>
      </c>
      <c r="E34" s="35"/>
      <c r="F34" s="35"/>
      <c r="G34" s="35"/>
      <c r="H34" s="35"/>
      <c r="I34" s="35"/>
      <c r="J34" s="65"/>
      <c r="K34" s="32">
        <v>44562</v>
      </c>
    </row>
    <row r="35" spans="1:11" ht="45" x14ac:dyDescent="0.25">
      <c r="A35" s="34" t="s">
        <v>527</v>
      </c>
      <c r="B35" s="35" t="s">
        <v>364</v>
      </c>
      <c r="C35" s="73" t="s">
        <v>374</v>
      </c>
      <c r="D35" s="35" t="s">
        <v>350</v>
      </c>
      <c r="E35" s="35"/>
      <c r="F35" s="35"/>
      <c r="G35" s="35"/>
      <c r="H35" s="35"/>
      <c r="I35" s="35"/>
      <c r="J35" s="65"/>
      <c r="K35" s="32">
        <v>44562</v>
      </c>
    </row>
    <row r="36" spans="1:11" ht="30" x14ac:dyDescent="0.25">
      <c r="A36" s="34" t="s">
        <v>528</v>
      </c>
      <c r="B36" s="35" t="s">
        <v>364</v>
      </c>
      <c r="C36" s="73" t="s">
        <v>374</v>
      </c>
      <c r="D36" s="35" t="s">
        <v>351</v>
      </c>
      <c r="E36" s="35"/>
      <c r="F36" s="35"/>
      <c r="G36" s="35"/>
      <c r="H36" s="35"/>
      <c r="I36" s="35"/>
      <c r="J36" s="65"/>
      <c r="K36" s="32">
        <v>44562</v>
      </c>
    </row>
    <row r="37" spans="1:11" ht="45" x14ac:dyDescent="0.25">
      <c r="A37" s="34" t="s">
        <v>529</v>
      </c>
      <c r="B37" s="35" t="s">
        <v>364</v>
      </c>
      <c r="C37" s="73" t="s">
        <v>374</v>
      </c>
      <c r="D37" s="35" t="s">
        <v>352</v>
      </c>
      <c r="E37" s="35"/>
      <c r="F37" s="35"/>
      <c r="G37" s="35"/>
      <c r="H37" s="35"/>
      <c r="I37" s="35"/>
      <c r="J37" s="65"/>
      <c r="K37" s="32">
        <v>44562</v>
      </c>
    </row>
    <row r="38" spans="1:11" ht="30" x14ac:dyDescent="0.25">
      <c r="A38" s="34" t="s">
        <v>530</v>
      </c>
      <c r="B38" s="35" t="s">
        <v>364</v>
      </c>
      <c r="C38" s="73" t="s">
        <v>374</v>
      </c>
      <c r="D38" s="35" t="s">
        <v>353</v>
      </c>
      <c r="E38" s="35"/>
      <c r="F38" s="35"/>
      <c r="G38" s="35"/>
      <c r="H38" s="35"/>
      <c r="I38" s="35"/>
      <c r="J38" s="65"/>
      <c r="K38" s="32">
        <v>44562</v>
      </c>
    </row>
    <row r="39" spans="1:11" ht="23.25" x14ac:dyDescent="0.25">
      <c r="A39" s="34" t="s">
        <v>531</v>
      </c>
      <c r="B39" s="35" t="s">
        <v>364</v>
      </c>
      <c r="C39" s="73" t="s">
        <v>374</v>
      </c>
      <c r="D39" s="35" t="s">
        <v>354</v>
      </c>
      <c r="E39" s="35"/>
      <c r="F39" s="35"/>
      <c r="G39" s="35"/>
      <c r="H39" s="35"/>
      <c r="I39" s="35"/>
      <c r="J39" s="65"/>
      <c r="K39" s="32">
        <v>44562</v>
      </c>
    </row>
    <row r="40" spans="1:11" ht="30" x14ac:dyDescent="0.25">
      <c r="A40" s="34" t="s">
        <v>532</v>
      </c>
      <c r="B40" s="35" t="s">
        <v>364</v>
      </c>
      <c r="C40" s="73" t="s">
        <v>374</v>
      </c>
      <c r="D40" s="35" t="s">
        <v>355</v>
      </c>
      <c r="E40" s="35"/>
      <c r="F40" s="35"/>
      <c r="G40" s="35"/>
      <c r="H40" s="35"/>
      <c r="I40" s="35"/>
      <c r="J40" s="65"/>
      <c r="K40" s="32">
        <v>44562</v>
      </c>
    </row>
    <row r="41" spans="1:11" ht="23.25" x14ac:dyDescent="0.25">
      <c r="A41" s="34" t="s">
        <v>533</v>
      </c>
      <c r="B41" s="35" t="s">
        <v>364</v>
      </c>
      <c r="C41" s="73" t="s">
        <v>374</v>
      </c>
      <c r="D41" s="35" t="s">
        <v>356</v>
      </c>
      <c r="E41" s="35"/>
      <c r="F41" s="35"/>
      <c r="G41" s="35"/>
      <c r="H41" s="35"/>
      <c r="I41" s="35"/>
      <c r="J41" s="65"/>
      <c r="K41" s="32">
        <v>44562</v>
      </c>
    </row>
  </sheetData>
  <sheetProtection password="E0C0" sheet="1" objects="1" scenarios="1"/>
  <protectedRanges>
    <protectedRange sqref="J7:J41" name="tabel"/>
  </protectedRanges>
  <mergeCells count="2">
    <mergeCell ref="E1:G1"/>
    <mergeCell ref="E2:G2"/>
  </mergeCells>
  <conditionalFormatting sqref="J7:J41">
    <cfRule type="containsBlanks" dxfId="30" priority="3">
      <formula>LEN(TRIM(J7))=0</formula>
    </cfRule>
  </conditionalFormatting>
  <conditionalFormatting sqref="I4:I5">
    <cfRule type="containsText" dxfId="29" priority="2" operator="containsText" text="Data belum komplit">
      <formula>NOT(ISERROR(SEARCH("Data belum komplit",I4)))</formula>
    </cfRule>
  </conditionalFormatting>
  <conditionalFormatting sqref="I4">
    <cfRule type="containsText" dxfId="28" priority="1" operator="containsText" text="Data komplit">
      <formula>NOT(ISERROR(SEARCH("Data komplit",I4)))</formula>
    </cfRule>
  </conditionalFormatting>
  <dataValidations count="2">
    <dataValidation type="list" allowBlank="1" showInputMessage="1" showErrorMessage="1" error="Hanya bisa diisi 1-5" promptTitle="Petunjuk" prompt="Isi angka 1-5" sqref="J7:J41">
      <formula1>"1,2,3,4,5"</formula1>
    </dataValidation>
    <dataValidation type="textLength" operator="equal" allowBlank="1" showInputMessage="1" showErrorMessage="1" errorTitle="Error" error="Tidak bisa input data di sini" promptTitle="Error" prompt="Tidak bisa input data di sini" sqref="J42:J100">
      <formula1>0</formula1>
    </dataValidation>
  </dataValidations>
  <pageMargins left="0.7" right="0.7" top="0.75" bottom="0.75" header="0.3" footer="0.3"/>
  <pageSetup paperSize="9" orientation="portrait" horizontalDpi="4294967292" verticalDpi="0" r:id="rId1"/>
  <drawing r:id="rId2"/>
  <legacyDrawing r:id="rId3"/>
  <controls>
    <mc:AlternateContent xmlns:mc="http://schemas.openxmlformats.org/markup-compatibility/2006">
      <mc:Choice Requires="x14">
        <control shapeId="23575" r:id="rId4" name="tab_grafik">
          <controlPr defaultSize="0" autoLine="0" r:id="rId5">
            <anchor moveWithCells="1">
              <from>
                <xdr:col>7</xdr:col>
                <xdr:colOff>85725</xdr:colOff>
                <xdr:row>0</xdr:row>
                <xdr:rowOff>57150</xdr:rowOff>
              </from>
              <to>
                <xdr:col>7</xdr:col>
                <xdr:colOff>771525</xdr:colOff>
                <xdr:row>0</xdr:row>
                <xdr:rowOff>323850</xdr:rowOff>
              </to>
            </anchor>
          </controlPr>
        </control>
      </mc:Choice>
      <mc:Fallback>
        <control shapeId="23575" r:id="rId4" name="tab_grafik"/>
      </mc:Fallback>
    </mc:AlternateContent>
    <mc:AlternateContent xmlns:mc="http://schemas.openxmlformats.org/markup-compatibility/2006">
      <mc:Choice Requires="x14">
        <control shapeId="23574" r:id="rId6" name="tab_chart">
          <controlPr defaultSize="0" autoLine="0" r:id="rId7">
            <anchor moveWithCells="1">
              <from>
                <xdr:col>6</xdr:col>
                <xdr:colOff>742950</xdr:colOff>
                <xdr:row>0</xdr:row>
                <xdr:rowOff>57150</xdr:rowOff>
              </from>
              <to>
                <xdr:col>6</xdr:col>
                <xdr:colOff>1266825</xdr:colOff>
                <xdr:row>0</xdr:row>
                <xdr:rowOff>323850</xdr:rowOff>
              </to>
            </anchor>
          </controlPr>
        </control>
      </mc:Choice>
      <mc:Fallback>
        <control shapeId="23574" r:id="rId6" name="tab_chart"/>
      </mc:Fallback>
    </mc:AlternateContent>
    <mc:AlternateContent xmlns:mc="http://schemas.openxmlformats.org/markup-compatibility/2006">
      <mc:Choice Requires="x14">
        <control shapeId="23572" r:id="rId8" name="submit_reputasi">
          <controlPr defaultSize="0" autoLine="0" r:id="rId9">
            <anchor moveWithCells="1">
              <from>
                <xdr:col>9</xdr:col>
                <xdr:colOff>419100</xdr:colOff>
                <xdr:row>2</xdr:row>
                <xdr:rowOff>152400</xdr:rowOff>
              </from>
              <to>
                <xdr:col>10</xdr:col>
                <xdr:colOff>704850</xdr:colOff>
                <xdr:row>4</xdr:row>
                <xdr:rowOff>38100</xdr:rowOff>
              </to>
            </anchor>
          </controlPr>
        </control>
      </mc:Choice>
      <mc:Fallback>
        <control shapeId="23572" r:id="rId8" name="submit_reputasi"/>
      </mc:Fallback>
    </mc:AlternateContent>
    <mc:AlternateContent xmlns:mc="http://schemas.openxmlformats.org/markup-compatibility/2006">
      <mc:Choice Requires="x14">
        <control shapeId="23571" r:id="rId10" name="clear_filter_reputasi">
          <controlPr defaultSize="0" autoLine="0" r:id="rId11">
            <anchor moveWithCells="1">
              <from>
                <xdr:col>3</xdr:col>
                <xdr:colOff>1847850</xdr:colOff>
                <xdr:row>3</xdr:row>
                <xdr:rowOff>38100</xdr:rowOff>
              </from>
              <to>
                <xdr:col>4</xdr:col>
                <xdr:colOff>666750</xdr:colOff>
                <xdr:row>4</xdr:row>
                <xdr:rowOff>133350</xdr:rowOff>
              </to>
            </anchor>
          </controlPr>
        </control>
      </mc:Choice>
      <mc:Fallback>
        <control shapeId="23571" r:id="rId10" name="clear_filter_reputasi"/>
      </mc:Fallback>
    </mc:AlternateContent>
    <mc:AlternateContent xmlns:mc="http://schemas.openxmlformats.org/markup-compatibility/2006">
      <mc:Choice Requires="x14">
        <control shapeId="23570" r:id="rId12" name="filter_blank_reputasi">
          <controlPr defaultSize="0" autoLine="0" r:id="rId13">
            <anchor moveWithCells="1">
              <from>
                <xdr:col>4</xdr:col>
                <xdr:colOff>800100</xdr:colOff>
                <xdr:row>3</xdr:row>
                <xdr:rowOff>38100</xdr:rowOff>
              </from>
              <to>
                <xdr:col>5</xdr:col>
                <xdr:colOff>733425</xdr:colOff>
                <xdr:row>4</xdr:row>
                <xdr:rowOff>133350</xdr:rowOff>
              </to>
            </anchor>
          </controlPr>
        </control>
      </mc:Choice>
      <mc:Fallback>
        <control shapeId="23570" r:id="rId12" name="filter_blank_reputasi"/>
      </mc:Fallback>
    </mc:AlternateContent>
    <mc:AlternateContent xmlns:mc="http://schemas.openxmlformats.org/markup-compatibility/2006">
      <mc:Choice Requires="x14">
        <control shapeId="23569" r:id="rId14" name="filter_indikator_reputasi">
          <controlPr defaultSize="0" autoLine="0" r:id="rId15">
            <anchor moveWithCells="1">
              <from>
                <xdr:col>3</xdr:col>
                <xdr:colOff>466725</xdr:colOff>
                <xdr:row>3</xdr:row>
                <xdr:rowOff>38100</xdr:rowOff>
              </from>
              <to>
                <xdr:col>3</xdr:col>
                <xdr:colOff>1704975</xdr:colOff>
                <xdr:row>4</xdr:row>
                <xdr:rowOff>133350</xdr:rowOff>
              </to>
            </anchor>
          </controlPr>
        </control>
      </mc:Choice>
      <mc:Fallback>
        <control shapeId="23569" r:id="rId14" name="filter_indikator_reputasi"/>
      </mc:Fallback>
    </mc:AlternateContent>
    <mc:AlternateContent xmlns:mc="http://schemas.openxmlformats.org/markup-compatibility/2006">
      <mc:Choice Requires="x14">
        <control shapeId="23568" r:id="rId16" name="filter_peringkat_reputasi">
          <controlPr defaultSize="0" autoLine="0" r:id="rId17">
            <anchor moveWithCells="1">
              <from>
                <xdr:col>2</xdr:col>
                <xdr:colOff>266700</xdr:colOff>
                <xdr:row>3</xdr:row>
                <xdr:rowOff>38100</xdr:rowOff>
              </from>
              <to>
                <xdr:col>3</xdr:col>
                <xdr:colOff>361950</xdr:colOff>
                <xdr:row>4</xdr:row>
                <xdr:rowOff>133350</xdr:rowOff>
              </to>
            </anchor>
          </controlPr>
        </control>
      </mc:Choice>
      <mc:Fallback>
        <control shapeId="23568" r:id="rId16" name="filter_peringkat_reputasi"/>
      </mc:Fallback>
    </mc:AlternateContent>
    <mc:AlternateContent xmlns:mc="http://schemas.openxmlformats.org/markup-compatibility/2006">
      <mc:Choice Requires="x14">
        <control shapeId="23567" r:id="rId18" name="kpmr_reputasi">
          <controlPr defaultSize="0" autoLine="0" r:id="rId19">
            <anchor moveWithCells="1">
              <from>
                <xdr:col>0</xdr:col>
                <xdr:colOff>66675</xdr:colOff>
                <xdr:row>3</xdr:row>
                <xdr:rowOff>38100</xdr:rowOff>
              </from>
              <to>
                <xdr:col>2</xdr:col>
                <xdr:colOff>171450</xdr:colOff>
                <xdr:row>4</xdr:row>
                <xdr:rowOff>133350</xdr:rowOff>
              </to>
            </anchor>
          </controlPr>
        </control>
      </mc:Choice>
      <mc:Fallback>
        <control shapeId="23567" r:id="rId18" name="kpmr_reputasi"/>
      </mc:Fallback>
    </mc:AlternateContent>
    <mc:AlternateContent xmlns:mc="http://schemas.openxmlformats.org/markup-compatibility/2006">
      <mc:Choice Requires="x14">
        <control shapeId="23566" r:id="rId20" name="pilih_periode_reputasi">
          <controlPr defaultSize="0" autoLine="0" r:id="rId21">
            <anchor moveWithCells="1">
              <from>
                <xdr:col>4</xdr:col>
                <xdr:colOff>9525</xdr:colOff>
                <xdr:row>1</xdr:row>
                <xdr:rowOff>9525</xdr:rowOff>
              </from>
              <to>
                <xdr:col>4</xdr:col>
                <xdr:colOff>800100</xdr:colOff>
                <xdr:row>2</xdr:row>
                <xdr:rowOff>9525</xdr:rowOff>
              </to>
            </anchor>
          </controlPr>
        </control>
      </mc:Choice>
      <mc:Fallback>
        <control shapeId="23566" r:id="rId20" name="pilih_periode_reputasi"/>
      </mc:Fallback>
    </mc:AlternateContent>
    <mc:AlternateContent xmlns:mc="http://schemas.openxmlformats.org/markup-compatibility/2006">
      <mc:Choice Requires="x14">
        <control shapeId="23565" r:id="rId22" name="tab_main_menu">
          <controlPr defaultSize="0" autoLine="0" r:id="rId23">
            <anchor moveWithCells="1">
              <from>
                <xdr:col>0</xdr:col>
                <xdr:colOff>85725</xdr:colOff>
                <xdr:row>0</xdr:row>
                <xdr:rowOff>57150</xdr:rowOff>
              </from>
              <to>
                <xdr:col>2</xdr:col>
                <xdr:colOff>276225</xdr:colOff>
                <xdr:row>0</xdr:row>
                <xdr:rowOff>323850</xdr:rowOff>
              </to>
            </anchor>
          </controlPr>
        </control>
      </mc:Choice>
      <mc:Fallback>
        <control shapeId="23565" r:id="rId22" name="tab_main_menu"/>
      </mc:Fallback>
    </mc:AlternateContent>
  </controls>
  <tableParts count="1">
    <tablePart r:id="rId2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4:M100"/>
  <sheetViews>
    <sheetView showGridLines="0" zoomScaleNormal="100" workbookViewId="0">
      <pane ySplit="4" topLeftCell="A50" activePane="bottomLeft" state="frozen"/>
      <selection pane="bottomLeft" activeCell="K56" sqref="K56"/>
    </sheetView>
  </sheetViews>
  <sheetFormatPr defaultRowHeight="15" x14ac:dyDescent="0.25"/>
  <cols>
    <col min="1" max="2" width="5.5703125" customWidth="1"/>
    <col min="3" max="3" width="20.140625" bestFit="1" customWidth="1"/>
    <col min="4" max="4" width="20.140625" customWidth="1"/>
    <col min="5" max="5" width="52.5703125" style="1" customWidth="1"/>
    <col min="6" max="6" width="23" style="1" customWidth="1"/>
    <col min="7" max="7" width="22.7109375" style="1" customWidth="1"/>
    <col min="8" max="8" width="29" style="1" customWidth="1"/>
    <col min="9" max="9" width="24.42578125" style="1" customWidth="1"/>
    <col min="10" max="10" width="24.5703125" style="1" customWidth="1"/>
    <col min="11" max="11" width="9.140625" style="1" customWidth="1"/>
    <col min="12" max="12" width="11" style="1" bestFit="1" customWidth="1"/>
  </cols>
  <sheetData>
    <row r="4" spans="1:13" ht="12.75" customHeight="1" x14ac:dyDescent="0.25">
      <c r="A4" t="s">
        <v>16</v>
      </c>
      <c r="B4" t="s">
        <v>83</v>
      </c>
      <c r="C4" t="s">
        <v>14</v>
      </c>
      <c r="D4" t="s">
        <v>373</v>
      </c>
      <c r="E4" s="1" t="s">
        <v>382</v>
      </c>
      <c r="F4" s="1" t="s">
        <v>375</v>
      </c>
      <c r="G4" s="1" t="s">
        <v>376</v>
      </c>
      <c r="H4" s="1" t="s">
        <v>377</v>
      </c>
      <c r="I4" s="1" t="s">
        <v>378</v>
      </c>
      <c r="J4" s="1" t="s">
        <v>379</v>
      </c>
      <c r="K4" s="1" t="s">
        <v>357</v>
      </c>
      <c r="L4" s="1" t="s">
        <v>13</v>
      </c>
      <c r="M4" t="s">
        <v>576</v>
      </c>
    </row>
    <row r="5" spans="1:13" ht="60" x14ac:dyDescent="0.25">
      <c r="A5" s="8" t="str">
        <f>Table2[[#This Row],[No]]&amp;(TEXT(Table2[[#This Row],[Periode]],"dd/mm/yyyy"))</f>
        <v>III.B.3.a01/01/2022</v>
      </c>
      <c r="B5" t="s">
        <v>445</v>
      </c>
      <c r="C5" t="s">
        <v>360</v>
      </c>
      <c r="D5" t="s">
        <v>372</v>
      </c>
      <c r="E5" s="1" t="s">
        <v>42</v>
      </c>
      <c r="F5" s="1" t="s">
        <v>36</v>
      </c>
      <c r="G5" s="1" t="s">
        <v>37</v>
      </c>
      <c r="H5" s="1" t="s">
        <v>38</v>
      </c>
      <c r="I5" s="1" t="s">
        <v>39</v>
      </c>
      <c r="J5" s="1" t="s">
        <v>40</v>
      </c>
      <c r="K5" s="68">
        <v>3</v>
      </c>
      <c r="L5" s="72">
        <v>44562</v>
      </c>
      <c r="M5" s="68" t="str">
        <f>TEXT(Table2[[#This Row],[Periode]],"Mmm-YYYY")</f>
        <v>Jan-2022</v>
      </c>
    </row>
    <row r="6" spans="1:13" ht="60" x14ac:dyDescent="0.25">
      <c r="A6" s="8" t="str">
        <f>Table2[[#This Row],[No]]&amp;(TEXT(Table2[[#This Row],[Periode]],"dd/mm/yyyy"))</f>
        <v>III.D.3.a01/01/2022</v>
      </c>
      <c r="B6" t="s">
        <v>505</v>
      </c>
      <c r="C6" t="s">
        <v>362</v>
      </c>
      <c r="D6" t="s">
        <v>372</v>
      </c>
      <c r="E6" s="1" t="s">
        <v>42</v>
      </c>
      <c r="F6" s="1" t="s">
        <v>36</v>
      </c>
      <c r="G6" s="1" t="s">
        <v>37</v>
      </c>
      <c r="H6" s="1" t="s">
        <v>38</v>
      </c>
      <c r="I6" s="1" t="s">
        <v>39</v>
      </c>
      <c r="J6" s="1" t="s">
        <v>40</v>
      </c>
      <c r="K6" s="68">
        <v>4</v>
      </c>
      <c r="L6" s="72">
        <v>44562</v>
      </c>
      <c r="M6" s="68" t="str">
        <f>TEXT(Table2[[#This Row],[Periode]],"Mmm-YYYY")</f>
        <v>Jan-2022</v>
      </c>
    </row>
    <row r="7" spans="1:13" ht="75" x14ac:dyDescent="0.25">
      <c r="A7" s="8" t="str">
        <f>Table2[[#This Row],[No]]&amp;(TEXT(Table2[[#This Row],[Periode]],"dd/mm/yyyy"))</f>
        <v>III.D.3.b01/01/2022</v>
      </c>
      <c r="B7" t="s">
        <v>506</v>
      </c>
      <c r="C7" t="s">
        <v>362</v>
      </c>
      <c r="D7" t="s">
        <v>372</v>
      </c>
      <c r="E7" s="1" t="s">
        <v>173</v>
      </c>
      <c r="F7" s="1" t="s">
        <v>43</v>
      </c>
      <c r="G7" s="1" t="s">
        <v>44</v>
      </c>
      <c r="H7" s="1" t="s">
        <v>45</v>
      </c>
      <c r="I7" s="1" t="s">
        <v>64</v>
      </c>
      <c r="J7" s="1" t="s">
        <v>65</v>
      </c>
      <c r="K7" s="68">
        <v>4</v>
      </c>
      <c r="L7" s="72">
        <v>44562</v>
      </c>
      <c r="M7" s="68" t="str">
        <f>TEXT(Table2[[#This Row],[Periode]],"Mmm-YYYY")</f>
        <v>Jan-2022</v>
      </c>
    </row>
    <row r="8" spans="1:13" ht="60" x14ac:dyDescent="0.25">
      <c r="A8" s="8" t="str">
        <f>Table2[[#This Row],[No]]&amp;(TEXT(Table2[[#This Row],[Periode]],"dd/mm/yyyy"))</f>
        <v>III.D.3.c01/01/2022</v>
      </c>
      <c r="B8" t="s">
        <v>507</v>
      </c>
      <c r="C8" t="s">
        <v>362</v>
      </c>
      <c r="D8" t="s">
        <v>372</v>
      </c>
      <c r="E8" s="1" t="s">
        <v>174</v>
      </c>
      <c r="F8" s="1" t="s">
        <v>52</v>
      </c>
      <c r="G8" s="1" t="s">
        <v>51</v>
      </c>
      <c r="H8" s="1" t="s">
        <v>50</v>
      </c>
      <c r="I8" s="1" t="s">
        <v>49</v>
      </c>
      <c r="J8" s="1" t="s">
        <v>48</v>
      </c>
      <c r="K8" s="68">
        <v>5</v>
      </c>
      <c r="L8" s="72">
        <v>44562</v>
      </c>
      <c r="M8" s="68" t="str">
        <f>TEXT(Table2[[#This Row],[Periode]],"Mmm-YYYY")</f>
        <v>Jan-2022</v>
      </c>
    </row>
    <row r="9" spans="1:13" ht="105" x14ac:dyDescent="0.25">
      <c r="A9" s="8" t="str">
        <f>Table2[[#This Row],[No]]&amp;(TEXT(Table2[[#This Row],[Periode]],"dd/mm/yyyy"))</f>
        <v>III.D.3.d01/01/2022</v>
      </c>
      <c r="B9" t="s">
        <v>508</v>
      </c>
      <c r="C9" t="s">
        <v>362</v>
      </c>
      <c r="D9" t="s">
        <v>372</v>
      </c>
      <c r="E9" s="1" t="s">
        <v>55</v>
      </c>
      <c r="F9" s="1" t="s">
        <v>34</v>
      </c>
      <c r="G9" s="1" t="s">
        <v>54</v>
      </c>
      <c r="H9" s="1" t="s">
        <v>53</v>
      </c>
      <c r="I9" s="1" t="s">
        <v>56</v>
      </c>
      <c r="J9" s="1" t="s">
        <v>57</v>
      </c>
      <c r="K9" s="68">
        <v>5</v>
      </c>
      <c r="L9" s="72">
        <v>44562</v>
      </c>
      <c r="M9" s="68" t="str">
        <f>TEXT(Table2[[#This Row],[Periode]],"Mmm-YYYY")</f>
        <v>Jan-2022</v>
      </c>
    </row>
    <row r="10" spans="1:13" ht="120" x14ac:dyDescent="0.25">
      <c r="A10" s="8" t="str">
        <f>Table2[[#This Row],[No]]&amp;(TEXT(Table2[[#This Row],[Periode]],"dd/mm/yyyy"))</f>
        <v>III.D.3.e01/01/2022</v>
      </c>
      <c r="B10" t="s">
        <v>509</v>
      </c>
      <c r="C10" t="s">
        <v>362</v>
      </c>
      <c r="D10" t="s">
        <v>372</v>
      </c>
      <c r="E10" s="1" t="s">
        <v>175</v>
      </c>
      <c r="F10" s="1" t="s">
        <v>58</v>
      </c>
      <c r="G10" s="1" t="s">
        <v>60</v>
      </c>
      <c r="H10" s="1" t="s">
        <v>61</v>
      </c>
      <c r="I10" s="1" t="s">
        <v>62</v>
      </c>
      <c r="J10" s="1" t="s">
        <v>63</v>
      </c>
      <c r="K10" s="68">
        <v>2</v>
      </c>
      <c r="L10" s="72">
        <v>44562</v>
      </c>
      <c r="M10" s="68" t="str">
        <f>TEXT(Table2[[#This Row],[Periode]],"Mmm-YYYY")</f>
        <v>Jan-2022</v>
      </c>
    </row>
    <row r="11" spans="1:13" ht="60" x14ac:dyDescent="0.25">
      <c r="A11" s="8" t="str">
        <f>Table2[[#This Row],[No]]&amp;(TEXT(Table2[[#This Row],[Periode]],"dd/mm/yyyy"))</f>
        <v>III.D.3.f01/01/2022</v>
      </c>
      <c r="B11" t="s">
        <v>510</v>
      </c>
      <c r="C11" t="s">
        <v>362</v>
      </c>
      <c r="D11" t="s">
        <v>372</v>
      </c>
      <c r="E11" s="1" t="s">
        <v>68</v>
      </c>
      <c r="F11" s="1" t="s">
        <v>69</v>
      </c>
      <c r="G11" s="1" t="s">
        <v>70</v>
      </c>
      <c r="H11" s="1" t="s">
        <v>66</v>
      </c>
      <c r="I11" s="1" t="s">
        <v>67</v>
      </c>
      <c r="J11" s="1" t="s">
        <v>71</v>
      </c>
      <c r="K11" s="68">
        <v>2</v>
      </c>
      <c r="L11" s="72">
        <v>44562</v>
      </c>
      <c r="M11" s="68" t="str">
        <f>TEXT(Table2[[#This Row],[Periode]],"Mmm-YYYY")</f>
        <v>Jan-2022</v>
      </c>
    </row>
    <row r="12" spans="1:13" ht="45" x14ac:dyDescent="0.25">
      <c r="A12" s="8" t="str">
        <f>Table2[[#This Row],[No]]&amp;(TEXT(Table2[[#This Row],[Periode]],"dd/mm/yyyy"))</f>
        <v>III.D.3.g01/01/2022</v>
      </c>
      <c r="B12" t="s">
        <v>511</v>
      </c>
      <c r="C12" t="s">
        <v>362</v>
      </c>
      <c r="D12" t="s">
        <v>372</v>
      </c>
      <c r="E12" s="1" t="s">
        <v>176</v>
      </c>
      <c r="F12" s="1" t="s">
        <v>73</v>
      </c>
      <c r="G12" s="1" t="s">
        <v>74</v>
      </c>
      <c r="H12" s="1" t="s">
        <v>75</v>
      </c>
      <c r="I12" s="1" t="s">
        <v>76</v>
      </c>
      <c r="J12" s="1" t="s">
        <v>77</v>
      </c>
      <c r="K12" s="68">
        <v>2</v>
      </c>
      <c r="L12" s="72">
        <v>44562</v>
      </c>
      <c r="M12" s="68" t="str">
        <f>TEXT(Table2[[#This Row],[Periode]],"Mmm-YYYY")</f>
        <v>Jan-2022</v>
      </c>
    </row>
    <row r="13" spans="1:13" ht="150" x14ac:dyDescent="0.25">
      <c r="A13" s="8" t="str">
        <f>Table2[[#This Row],[No]]&amp;(TEXT(Table2[[#This Row],[Periode]],"dd/mm/yyyy"))</f>
        <v>III.D.3.h01/01/2022</v>
      </c>
      <c r="B13" t="s">
        <v>512</v>
      </c>
      <c r="C13" t="s">
        <v>362</v>
      </c>
      <c r="D13" t="s">
        <v>372</v>
      </c>
      <c r="E13" s="1" t="s">
        <v>177</v>
      </c>
      <c r="F13" s="1" t="s">
        <v>178</v>
      </c>
      <c r="G13" s="1" t="s">
        <v>179</v>
      </c>
      <c r="H13" s="1" t="s">
        <v>80</v>
      </c>
      <c r="I13" s="1" t="s">
        <v>81</v>
      </c>
      <c r="J13" s="1" t="s">
        <v>82</v>
      </c>
      <c r="K13" s="68">
        <v>2</v>
      </c>
      <c r="L13" s="72">
        <v>44562</v>
      </c>
      <c r="M13" s="68" t="str">
        <f>TEXT(Table2[[#This Row],[Periode]],"Mmm-YYYY")</f>
        <v>Jan-2022</v>
      </c>
    </row>
    <row r="14" spans="1:13" ht="45" x14ac:dyDescent="0.25">
      <c r="A14" s="8" t="str">
        <f>Table2[[#This Row],[No]]&amp;(TEXT(Table2[[#This Row],[Periode]],"dd/mm/yyyy"))</f>
        <v>III.D.3.i01/01/2022</v>
      </c>
      <c r="B14" t="s">
        <v>513</v>
      </c>
      <c r="C14" t="s">
        <v>362</v>
      </c>
      <c r="D14" t="s">
        <v>372</v>
      </c>
      <c r="E14" s="1" t="s">
        <v>180</v>
      </c>
      <c r="F14" s="1" t="s">
        <v>34</v>
      </c>
      <c r="G14" s="1" t="s">
        <v>35</v>
      </c>
      <c r="H14" s="1" t="s">
        <v>86</v>
      </c>
      <c r="I14" s="1" t="s">
        <v>87</v>
      </c>
      <c r="J14" s="1" t="s">
        <v>88</v>
      </c>
      <c r="K14" s="68">
        <v>1</v>
      </c>
      <c r="L14" s="72">
        <v>44562</v>
      </c>
      <c r="M14" s="68" t="str">
        <f>TEXT(Table2[[#This Row],[Periode]],"Mmm-YYYY")</f>
        <v>Jan-2022</v>
      </c>
    </row>
    <row r="15" spans="1:13" ht="135" x14ac:dyDescent="0.25">
      <c r="A15" s="8" t="str">
        <f>Table2[[#This Row],[No]]&amp;(TEXT(Table2[[#This Row],[Periode]],"dd/mm/yyyy"))</f>
        <v>III.D.3.j01/01/2022</v>
      </c>
      <c r="B15" t="s">
        <v>514</v>
      </c>
      <c r="C15" t="s">
        <v>362</v>
      </c>
      <c r="D15" t="s">
        <v>372</v>
      </c>
      <c r="E15" s="1" t="s">
        <v>181</v>
      </c>
      <c r="F15" s="1" t="s">
        <v>182</v>
      </c>
      <c r="G15" s="1" t="s">
        <v>183</v>
      </c>
      <c r="H15" s="1" t="s">
        <v>91</v>
      </c>
      <c r="I15" s="1" t="s">
        <v>92</v>
      </c>
      <c r="J15" s="1" t="s">
        <v>93</v>
      </c>
      <c r="K15" s="68">
        <v>2</v>
      </c>
      <c r="L15" s="72">
        <v>44562</v>
      </c>
      <c r="M15" s="68" t="str">
        <f>TEXT(Table2[[#This Row],[Periode]],"Mmm-YYYY")</f>
        <v>Jan-2022</v>
      </c>
    </row>
    <row r="16" spans="1:13" ht="30" x14ac:dyDescent="0.25">
      <c r="A16" s="8" t="str">
        <f>Table2[[#This Row],[No]]&amp;(TEXT(Table2[[#This Row],[Periode]],"dd/mm/yyyy"))</f>
        <v>III.D.3.k01/01/2022</v>
      </c>
      <c r="B16" t="s">
        <v>515</v>
      </c>
      <c r="C16" t="s">
        <v>362</v>
      </c>
      <c r="D16" t="s">
        <v>372</v>
      </c>
      <c r="E16" s="1" t="s">
        <v>184</v>
      </c>
      <c r="F16" s="1" t="s">
        <v>34</v>
      </c>
      <c r="G16" s="1" t="s">
        <v>35</v>
      </c>
      <c r="H16" s="1" t="s">
        <v>86</v>
      </c>
      <c r="I16" s="1" t="s">
        <v>87</v>
      </c>
      <c r="J16" s="1" t="s">
        <v>88</v>
      </c>
      <c r="K16" s="68">
        <v>3</v>
      </c>
      <c r="L16" s="72">
        <v>44562</v>
      </c>
      <c r="M16" s="68" t="str">
        <f>TEXT(Table2[[#This Row],[Periode]],"Mmm-YYYY")</f>
        <v>Jan-2022</v>
      </c>
    </row>
    <row r="17" spans="1:13" ht="30" x14ac:dyDescent="0.25">
      <c r="A17" s="8" t="str">
        <f>Table2[[#This Row],[No]]&amp;(TEXT(Table2[[#This Row],[Periode]],"dd/mm/yyyy"))</f>
        <v>III.D.3.l01/01/2022</v>
      </c>
      <c r="B17" t="s">
        <v>516</v>
      </c>
      <c r="C17" t="s">
        <v>362</v>
      </c>
      <c r="D17" t="s">
        <v>372</v>
      </c>
      <c r="E17" s="1" t="s">
        <v>185</v>
      </c>
      <c r="F17" s="1" t="s">
        <v>95</v>
      </c>
      <c r="G17" s="1" t="s">
        <v>97</v>
      </c>
      <c r="H17" s="1" t="s">
        <v>98</v>
      </c>
      <c r="I17" s="1" t="s">
        <v>99</v>
      </c>
      <c r="J17" s="1" t="s">
        <v>100</v>
      </c>
      <c r="K17" s="68">
        <v>4</v>
      </c>
      <c r="L17" s="72">
        <v>44562</v>
      </c>
      <c r="M17" s="68" t="str">
        <f>TEXT(Table2[[#This Row],[Periode]],"Mmm-YYYY")</f>
        <v>Jan-2022</v>
      </c>
    </row>
    <row r="18" spans="1:13" ht="135" x14ac:dyDescent="0.25">
      <c r="A18" s="8" t="str">
        <f>Table2[[#This Row],[No]]&amp;(TEXT(Table2[[#This Row],[Periode]],"dd/mm/yyyy"))</f>
        <v>III.D.3.m01/01/2022</v>
      </c>
      <c r="B18" t="s">
        <v>517</v>
      </c>
      <c r="C18" t="s">
        <v>362</v>
      </c>
      <c r="D18" t="s">
        <v>372</v>
      </c>
      <c r="E18" s="1" t="s">
        <v>101</v>
      </c>
      <c r="F18" s="1" t="s">
        <v>102</v>
      </c>
      <c r="G18" s="1" t="s">
        <v>103</v>
      </c>
      <c r="H18" s="1" t="s">
        <v>104</v>
      </c>
      <c r="I18" s="1" t="s">
        <v>105</v>
      </c>
      <c r="J18" s="1" t="s">
        <v>106</v>
      </c>
      <c r="K18" s="68"/>
      <c r="L18" s="72">
        <v>44562</v>
      </c>
      <c r="M18" s="68" t="str">
        <f>TEXT(Table2[[#This Row],[Periode]],"Mmm-YYYY")</f>
        <v>Jan-2022</v>
      </c>
    </row>
    <row r="19" spans="1:13" ht="60" x14ac:dyDescent="0.25">
      <c r="A19" s="8" t="str">
        <f>Table2[[#This Row],[No]]&amp;(TEXT(Table2[[#This Row],[Periode]],"dd/mm/yyyy"))</f>
        <v>III.D.3.n01/01/2022</v>
      </c>
      <c r="B19" t="s">
        <v>518</v>
      </c>
      <c r="C19" t="s">
        <v>362</v>
      </c>
      <c r="D19" t="s">
        <v>372</v>
      </c>
      <c r="E19" s="1" t="s">
        <v>109</v>
      </c>
      <c r="F19" s="1" t="s">
        <v>107</v>
      </c>
      <c r="G19" s="1" t="s">
        <v>108</v>
      </c>
      <c r="H19" s="1" t="s">
        <v>110</v>
      </c>
      <c r="I19" s="1" t="s">
        <v>111</v>
      </c>
      <c r="J19" s="1" t="s">
        <v>112</v>
      </c>
      <c r="K19" s="68"/>
      <c r="L19" s="72">
        <v>44562</v>
      </c>
      <c r="M19" s="68" t="str">
        <f>TEXT(Table2[[#This Row],[Periode]],"Mmm-YYYY")</f>
        <v>Jan-2022</v>
      </c>
    </row>
    <row r="20" spans="1:13" ht="30" x14ac:dyDescent="0.25">
      <c r="A20" s="8" t="str">
        <f>Table2[[#This Row],[No]]&amp;(TEXT(Table2[[#This Row],[Periode]],"dd/mm/yyyy"))</f>
        <v>III.D.3.o01/01/2022</v>
      </c>
      <c r="B20" t="s">
        <v>519</v>
      </c>
      <c r="C20" t="s">
        <v>362</v>
      </c>
      <c r="D20" t="s">
        <v>372</v>
      </c>
      <c r="E20" s="1" t="s">
        <v>113</v>
      </c>
      <c r="F20" s="1" t="s">
        <v>34</v>
      </c>
      <c r="G20" s="1" t="s">
        <v>35</v>
      </c>
      <c r="H20" s="1" t="s">
        <v>86</v>
      </c>
      <c r="I20" s="1" t="s">
        <v>87</v>
      </c>
      <c r="J20" s="1" t="s">
        <v>114</v>
      </c>
      <c r="K20" s="68">
        <v>4</v>
      </c>
      <c r="L20" s="72">
        <v>44562</v>
      </c>
      <c r="M20" s="68" t="str">
        <f>TEXT(Table2[[#This Row],[Periode]],"Mmm-YYYY")</f>
        <v>Jan-2022</v>
      </c>
    </row>
    <row r="21" spans="1:13" ht="75" x14ac:dyDescent="0.25">
      <c r="A21" s="8" t="str">
        <f>Table2[[#This Row],[No]]&amp;(TEXT(Table2[[#This Row],[Periode]],"dd/mm/yyyy"))</f>
        <v>III.D.2.a01/01/2022</v>
      </c>
      <c r="B21" t="s">
        <v>502</v>
      </c>
      <c r="C21" t="s">
        <v>365</v>
      </c>
      <c r="D21" t="s">
        <v>371</v>
      </c>
      <c r="E21" s="1" t="s">
        <v>248</v>
      </c>
      <c r="F21" s="1" t="s">
        <v>249</v>
      </c>
      <c r="G21" s="1" t="s">
        <v>250</v>
      </c>
      <c r="H21" s="1" t="s">
        <v>251</v>
      </c>
      <c r="I21" s="1" t="s">
        <v>252</v>
      </c>
      <c r="J21" s="1" t="s">
        <v>253</v>
      </c>
      <c r="K21" s="68">
        <v>2</v>
      </c>
      <c r="L21" s="72">
        <v>44562</v>
      </c>
      <c r="M21" s="68" t="str">
        <f>TEXT(Table2[[#This Row],[Periode]],"Mmm-YYYY")</f>
        <v>Jan-2022</v>
      </c>
    </row>
    <row r="22" spans="1:13" x14ac:dyDescent="0.25">
      <c r="A22" s="8" t="str">
        <f>Table2[[#This Row],[No]]&amp;(TEXT(Table2[[#This Row],[Periode]],"dd/mm/yyyy"))</f>
        <v>III.D.2.b01/01/2022</v>
      </c>
      <c r="B22" t="s">
        <v>503</v>
      </c>
      <c r="C22" t="s">
        <v>365</v>
      </c>
      <c r="D22" t="s">
        <v>371</v>
      </c>
      <c r="E22" s="1" t="s">
        <v>254</v>
      </c>
      <c r="F22" s="1" t="s">
        <v>43</v>
      </c>
      <c r="G22" s="1" t="s">
        <v>44</v>
      </c>
      <c r="H22" s="1" t="s">
        <v>255</v>
      </c>
      <c r="I22" s="1" t="s">
        <v>256</v>
      </c>
      <c r="J22" s="1" t="s">
        <v>257</v>
      </c>
      <c r="K22" s="68">
        <v>3</v>
      </c>
      <c r="L22" s="72">
        <v>44562</v>
      </c>
      <c r="M22" s="68" t="str">
        <f>TEXT(Table2[[#This Row],[Periode]],"Mmm-YYYY")</f>
        <v>Jan-2022</v>
      </c>
    </row>
    <row r="23" spans="1:13" ht="60" x14ac:dyDescent="0.25">
      <c r="A23" s="8" t="str">
        <f>Table2[[#This Row],[No]]&amp;(TEXT(Table2[[#This Row],[Periode]],"dd/mm/yyyy"))</f>
        <v>III.D.2.c01/01/2022</v>
      </c>
      <c r="B23" t="s">
        <v>504</v>
      </c>
      <c r="C23" t="s">
        <v>365</v>
      </c>
      <c r="D23" t="s">
        <v>371</v>
      </c>
      <c r="E23" s="1" t="s">
        <v>258</v>
      </c>
      <c r="F23" s="1" t="s">
        <v>259</v>
      </c>
      <c r="G23" s="1" t="s">
        <v>260</v>
      </c>
      <c r="H23" s="1" t="s">
        <v>261</v>
      </c>
      <c r="I23" s="1" t="s">
        <v>262</v>
      </c>
      <c r="J23" s="1" t="s">
        <v>263</v>
      </c>
      <c r="K23" s="68">
        <v>1</v>
      </c>
      <c r="L23" s="72">
        <v>44562</v>
      </c>
      <c r="M23" s="68" t="str">
        <f>TEXT(Table2[[#This Row],[Periode]],"Mmm-YYYY")</f>
        <v>Jan-2022</v>
      </c>
    </row>
    <row r="24" spans="1:13" ht="30" x14ac:dyDescent="0.25">
      <c r="A24" s="8" t="str">
        <f>Table2[[#This Row],[No]]&amp;(TEXT(Table2[[#This Row],[Periode]],"dd/mm/yyyy"))</f>
        <v>III.D.1.1.a01/01/2022</v>
      </c>
      <c r="B24" t="s">
        <v>493</v>
      </c>
      <c r="C24" t="s">
        <v>365</v>
      </c>
      <c r="D24" t="s">
        <v>374</v>
      </c>
      <c r="E24" s="1" t="s">
        <v>334</v>
      </c>
      <c r="K24" s="68">
        <v>2</v>
      </c>
      <c r="L24" s="72">
        <v>44562</v>
      </c>
      <c r="M24" s="68" t="str">
        <f>TEXT(Table2[[#This Row],[Periode]],"Mmm-YYYY")</f>
        <v>Jan-2022</v>
      </c>
    </row>
    <row r="25" spans="1:13" ht="45" x14ac:dyDescent="0.25">
      <c r="A25" s="8" t="str">
        <f>Table2[[#This Row],[No]]&amp;(TEXT(Table2[[#This Row],[Periode]],"dd/mm/yyyy"))</f>
        <v>III.D.1.1.b01/01/2022</v>
      </c>
      <c r="B25" t="s">
        <v>494</v>
      </c>
      <c r="C25" t="s">
        <v>365</v>
      </c>
      <c r="D25" t="s">
        <v>374</v>
      </c>
      <c r="E25" s="1" t="s">
        <v>335</v>
      </c>
      <c r="K25" s="68">
        <v>3</v>
      </c>
      <c r="L25" s="72">
        <v>44562</v>
      </c>
      <c r="M25" s="68" t="str">
        <f>TEXT(Table2[[#This Row],[Periode]],"Mmm-YYYY")</f>
        <v>Jan-2022</v>
      </c>
    </row>
    <row r="26" spans="1:13" ht="30" x14ac:dyDescent="0.25">
      <c r="A26" s="8" t="str">
        <f>Table2[[#This Row],[No]]&amp;(TEXT(Table2[[#This Row],[Periode]],"dd/mm/yyyy"))</f>
        <v>III.D.1.1.c01/01/2022</v>
      </c>
      <c r="B26" t="s">
        <v>495</v>
      </c>
      <c r="C26" t="s">
        <v>365</v>
      </c>
      <c r="D26" t="s">
        <v>374</v>
      </c>
      <c r="E26" s="1" t="s">
        <v>336</v>
      </c>
      <c r="K26" s="68"/>
      <c r="L26" s="72">
        <v>44562</v>
      </c>
      <c r="M26" s="68" t="str">
        <f>TEXT(Table2[[#This Row],[Periode]],"Mmm-YYYY")</f>
        <v>Jan-2022</v>
      </c>
    </row>
    <row r="27" spans="1:13" x14ac:dyDescent="0.25">
      <c r="A27" s="8" t="str">
        <f>Table2[[#This Row],[No]]&amp;(TEXT(Table2[[#This Row],[Periode]],"dd/mm/yyyy"))</f>
        <v>III.D.1.1.d01/01/2022</v>
      </c>
      <c r="B27" t="s">
        <v>496</v>
      </c>
      <c r="C27" t="s">
        <v>365</v>
      </c>
      <c r="D27" t="s">
        <v>374</v>
      </c>
      <c r="E27" s="1" t="s">
        <v>337</v>
      </c>
      <c r="K27" s="68"/>
      <c r="L27" s="72">
        <v>44562</v>
      </c>
      <c r="M27" s="68" t="str">
        <f>TEXT(Table2[[#This Row],[Periode]],"Mmm-YYYY")</f>
        <v>Jan-2022</v>
      </c>
    </row>
    <row r="28" spans="1:13" x14ac:dyDescent="0.25">
      <c r="A28" s="8" t="str">
        <f>Table2[[#This Row],[No]]&amp;(TEXT(Table2[[#This Row],[Periode]],"dd/mm/yyyy"))</f>
        <v>III.D.1.1.e01/01/2022</v>
      </c>
      <c r="B28" t="s">
        <v>497</v>
      </c>
      <c r="C28" t="s">
        <v>365</v>
      </c>
      <c r="D28" t="s">
        <v>374</v>
      </c>
      <c r="E28" s="1" t="s">
        <v>338</v>
      </c>
      <c r="K28" s="68">
        <v>2</v>
      </c>
      <c r="L28" s="72">
        <v>44562</v>
      </c>
      <c r="M28" s="68" t="str">
        <f>TEXT(Table2[[#This Row],[Periode]],"Mmm-YYYY")</f>
        <v>Jan-2022</v>
      </c>
    </row>
    <row r="29" spans="1:13" ht="30" x14ac:dyDescent="0.25">
      <c r="A29" s="8" t="str">
        <f>Table2[[#This Row],[No]]&amp;(TEXT(Table2[[#This Row],[Periode]],"dd/mm/yyyy"))</f>
        <v>III.D.1.2.a01/01/2022</v>
      </c>
      <c r="B29" t="s">
        <v>498</v>
      </c>
      <c r="C29" t="s">
        <v>365</v>
      </c>
      <c r="D29" t="s">
        <v>374</v>
      </c>
      <c r="E29" s="1" t="s">
        <v>339</v>
      </c>
      <c r="K29" s="68">
        <v>3</v>
      </c>
      <c r="L29" s="72">
        <v>44562</v>
      </c>
      <c r="M29" s="68" t="str">
        <f>TEXT(Table2[[#This Row],[Periode]],"Mmm-YYYY")</f>
        <v>Jan-2022</v>
      </c>
    </row>
    <row r="30" spans="1:13" x14ac:dyDescent="0.25">
      <c r="A30" s="8" t="str">
        <f>Table2[[#This Row],[No]]&amp;(TEXT(Table2[[#This Row],[Periode]],"dd/mm/yyyy"))</f>
        <v>III.D.1.2.b01/01/2022</v>
      </c>
      <c r="B30" t="s">
        <v>499</v>
      </c>
      <c r="C30" t="s">
        <v>365</v>
      </c>
      <c r="D30" t="s">
        <v>374</v>
      </c>
      <c r="E30" s="1" t="s">
        <v>340</v>
      </c>
      <c r="K30" s="68">
        <v>1</v>
      </c>
      <c r="L30" s="72">
        <v>44562</v>
      </c>
      <c r="M30" s="68" t="str">
        <f>TEXT(Table2[[#This Row],[Periode]],"Mmm-YYYY")</f>
        <v>Jan-2022</v>
      </c>
    </row>
    <row r="31" spans="1:13" ht="45" x14ac:dyDescent="0.25">
      <c r="A31" s="8" t="str">
        <f>Table2[[#This Row],[No]]&amp;(TEXT(Table2[[#This Row],[Periode]],"dd/mm/yyyy"))</f>
        <v>III.D.1.3.a01/01/2022</v>
      </c>
      <c r="B31" t="s">
        <v>500</v>
      </c>
      <c r="C31" t="s">
        <v>365</v>
      </c>
      <c r="D31" t="s">
        <v>374</v>
      </c>
      <c r="E31" s="1" t="s">
        <v>341</v>
      </c>
      <c r="K31" s="68">
        <v>4</v>
      </c>
      <c r="L31" s="72">
        <v>44562</v>
      </c>
      <c r="M31" s="68" t="str">
        <f>TEXT(Table2[[#This Row],[Periode]],"Mmm-YYYY")</f>
        <v>Jan-2022</v>
      </c>
    </row>
    <row r="32" spans="1:13" ht="60" x14ac:dyDescent="0.25">
      <c r="A32" s="8" t="str">
        <f>Table2[[#This Row],[No]]&amp;(TEXT(Table2[[#This Row],[Periode]],"dd/mm/yyyy"))</f>
        <v>III.D.1.4.a01/01/2022</v>
      </c>
      <c r="B32" t="s">
        <v>501</v>
      </c>
      <c r="C32" t="s">
        <v>365</v>
      </c>
      <c r="D32" t="s">
        <v>374</v>
      </c>
      <c r="E32" s="1" t="s">
        <v>342</v>
      </c>
      <c r="K32" s="68">
        <v>2</v>
      </c>
      <c r="L32" s="72">
        <v>44562</v>
      </c>
      <c r="M32" s="68" t="str">
        <f>TEXT(Table2[[#This Row],[Periode]],"Mmm-YYYY")</f>
        <v>Jan-2022</v>
      </c>
    </row>
    <row r="33" spans="1:13" ht="60" x14ac:dyDescent="0.25">
      <c r="A33" s="8" t="str">
        <f>Table2[[#This Row],[No]]&amp;(TEXT(Table2[[#This Row],[Periode]],"dd/mm/yyyy"))</f>
        <v>III.E.3.a01/01/2022</v>
      </c>
      <c r="B33" t="s">
        <v>540</v>
      </c>
      <c r="C33" t="s">
        <v>363</v>
      </c>
      <c r="D33" t="s">
        <v>372</v>
      </c>
      <c r="E33" s="1" t="s">
        <v>42</v>
      </c>
      <c r="F33" s="1" t="s">
        <v>375</v>
      </c>
      <c r="G33" s="1" t="s">
        <v>556</v>
      </c>
      <c r="H33" s="1" t="s">
        <v>377</v>
      </c>
      <c r="I33" s="1" t="s">
        <v>378</v>
      </c>
      <c r="J33" s="1" t="s">
        <v>379</v>
      </c>
      <c r="K33" s="68"/>
      <c r="L33" s="72">
        <v>44562</v>
      </c>
      <c r="M33" s="68" t="str">
        <f>TEXT(Table2[[#This Row],[Periode]],"Mmm-YYYY")</f>
        <v>Jan-2022</v>
      </c>
    </row>
    <row r="34" spans="1:13" ht="75" x14ac:dyDescent="0.25">
      <c r="A34" s="8" t="str">
        <f>Table2[[#This Row],[No]]&amp;(TEXT(Table2[[#This Row],[Periode]],"dd/mm/yyyy"))</f>
        <v>III.E.3.b01/01/2022</v>
      </c>
      <c r="B34" t="s">
        <v>541</v>
      </c>
      <c r="C34" t="s">
        <v>363</v>
      </c>
      <c r="D34" t="s">
        <v>372</v>
      </c>
      <c r="E34" s="1" t="s">
        <v>186</v>
      </c>
      <c r="F34" s="1" t="s">
        <v>43</v>
      </c>
      <c r="G34" s="1" t="s">
        <v>44</v>
      </c>
      <c r="H34" s="1" t="s">
        <v>45</v>
      </c>
      <c r="I34" s="1" t="s">
        <v>64</v>
      </c>
      <c r="J34" s="1" t="s">
        <v>65</v>
      </c>
      <c r="K34" s="68"/>
      <c r="L34" s="72">
        <v>44562</v>
      </c>
      <c r="M34" s="68" t="str">
        <f>TEXT(Table2[[#This Row],[Periode]],"Mmm-YYYY")</f>
        <v>Jan-2022</v>
      </c>
    </row>
    <row r="35" spans="1:13" ht="60" x14ac:dyDescent="0.25">
      <c r="A35" s="8" t="str">
        <f>Table2[[#This Row],[No]]&amp;(TEXT(Table2[[#This Row],[Periode]],"dd/mm/yyyy"))</f>
        <v>III.E.3.c01/01/2022</v>
      </c>
      <c r="B35" t="s">
        <v>542</v>
      </c>
      <c r="C35" t="s">
        <v>363</v>
      </c>
      <c r="D35" t="s">
        <v>372</v>
      </c>
      <c r="E35" s="1" t="s">
        <v>187</v>
      </c>
      <c r="F35" s="1" t="s">
        <v>52</v>
      </c>
      <c r="G35" s="1" t="s">
        <v>51</v>
      </c>
      <c r="H35" s="1" t="s">
        <v>50</v>
      </c>
      <c r="I35" s="1" t="s">
        <v>49</v>
      </c>
      <c r="J35" s="1" t="s">
        <v>48</v>
      </c>
      <c r="K35" s="68"/>
      <c r="L35" s="72">
        <v>44562</v>
      </c>
      <c r="M35" s="68" t="str">
        <f>TEXT(Table2[[#This Row],[Periode]],"Mmm-YYYY")</f>
        <v>Jan-2022</v>
      </c>
    </row>
    <row r="36" spans="1:13" ht="105" x14ac:dyDescent="0.25">
      <c r="A36" s="8" t="str">
        <f>Table2[[#This Row],[No]]&amp;(TEXT(Table2[[#This Row],[Periode]],"dd/mm/yyyy"))</f>
        <v>III.E.3.d01/01/2022</v>
      </c>
      <c r="B36" t="s">
        <v>543</v>
      </c>
      <c r="C36" t="s">
        <v>363</v>
      </c>
      <c r="D36" t="s">
        <v>372</v>
      </c>
      <c r="E36" s="1" t="s">
        <v>55</v>
      </c>
      <c r="F36" s="1" t="s">
        <v>34</v>
      </c>
      <c r="G36" s="1" t="s">
        <v>54</v>
      </c>
      <c r="H36" s="1" t="s">
        <v>53</v>
      </c>
      <c r="I36" s="1" t="s">
        <v>56</v>
      </c>
      <c r="J36" s="1" t="s">
        <v>57</v>
      </c>
      <c r="K36" s="68"/>
      <c r="L36" s="72">
        <v>44562</v>
      </c>
      <c r="M36" s="68" t="str">
        <f>TEXT(Table2[[#This Row],[Periode]],"Mmm-YYYY")</f>
        <v>Jan-2022</v>
      </c>
    </row>
    <row r="37" spans="1:13" ht="120" x14ac:dyDescent="0.25">
      <c r="A37" s="8" t="str">
        <f>Table2[[#This Row],[No]]&amp;(TEXT(Table2[[#This Row],[Periode]],"dd/mm/yyyy"))</f>
        <v>III.E.3.e01/01/2022</v>
      </c>
      <c r="B37" t="s">
        <v>544</v>
      </c>
      <c r="C37" t="s">
        <v>363</v>
      </c>
      <c r="D37" t="s">
        <v>372</v>
      </c>
      <c r="E37" s="1" t="s">
        <v>188</v>
      </c>
      <c r="F37" s="1" t="s">
        <v>58</v>
      </c>
      <c r="G37" s="1" t="s">
        <v>60</v>
      </c>
      <c r="H37" s="1" t="s">
        <v>61</v>
      </c>
      <c r="I37" s="1" t="s">
        <v>62</v>
      </c>
      <c r="J37" s="1" t="s">
        <v>63</v>
      </c>
      <c r="K37" s="68"/>
      <c r="L37" s="72">
        <v>44562</v>
      </c>
      <c r="M37" s="68" t="str">
        <f>TEXT(Table2[[#This Row],[Periode]],"Mmm-YYYY")</f>
        <v>Jan-2022</v>
      </c>
    </row>
    <row r="38" spans="1:13" ht="60" x14ac:dyDescent="0.25">
      <c r="A38" s="8" t="str">
        <f>Table2[[#This Row],[No]]&amp;(TEXT(Table2[[#This Row],[Periode]],"dd/mm/yyyy"))</f>
        <v>III.E.3.f01/01/2022</v>
      </c>
      <c r="B38" t="s">
        <v>545</v>
      </c>
      <c r="C38" t="s">
        <v>363</v>
      </c>
      <c r="D38" t="s">
        <v>372</v>
      </c>
      <c r="E38" s="1" t="s">
        <v>68</v>
      </c>
      <c r="F38" s="1" t="s">
        <v>69</v>
      </c>
      <c r="G38" s="1" t="s">
        <v>70</v>
      </c>
      <c r="H38" s="1" t="s">
        <v>66</v>
      </c>
      <c r="I38" s="1" t="s">
        <v>67</v>
      </c>
      <c r="J38" s="1" t="s">
        <v>71</v>
      </c>
      <c r="K38" s="68"/>
      <c r="L38" s="72">
        <v>44562</v>
      </c>
      <c r="M38" s="68" t="str">
        <f>TEXT(Table2[[#This Row],[Periode]],"Mmm-YYYY")</f>
        <v>Jan-2022</v>
      </c>
    </row>
    <row r="39" spans="1:13" ht="45" x14ac:dyDescent="0.25">
      <c r="A39" s="8" t="str">
        <f>Table2[[#This Row],[No]]&amp;(TEXT(Table2[[#This Row],[Periode]],"dd/mm/yyyy"))</f>
        <v>III.E.3.g01/01/2022</v>
      </c>
      <c r="B39" t="s">
        <v>546</v>
      </c>
      <c r="C39" t="s">
        <v>363</v>
      </c>
      <c r="D39" t="s">
        <v>372</v>
      </c>
      <c r="E39" s="1" t="s">
        <v>189</v>
      </c>
      <c r="F39" s="1" t="s">
        <v>73</v>
      </c>
      <c r="G39" s="1" t="s">
        <v>74</v>
      </c>
      <c r="H39" s="1" t="s">
        <v>75</v>
      </c>
      <c r="I39" s="1" t="s">
        <v>76</v>
      </c>
      <c r="J39" s="1" t="s">
        <v>77</v>
      </c>
      <c r="K39" s="68"/>
      <c r="L39" s="72">
        <v>44562</v>
      </c>
      <c r="M39" s="68" t="str">
        <f>TEXT(Table2[[#This Row],[Periode]],"Mmm-YYYY")</f>
        <v>Jan-2022</v>
      </c>
    </row>
    <row r="40" spans="1:13" ht="150" x14ac:dyDescent="0.25">
      <c r="A40" s="8" t="str">
        <f>Table2[[#This Row],[No]]&amp;(TEXT(Table2[[#This Row],[Periode]],"dd/mm/yyyy"))</f>
        <v>III.E.3.h01/01/2022</v>
      </c>
      <c r="B40" t="s">
        <v>547</v>
      </c>
      <c r="C40" t="s">
        <v>363</v>
      </c>
      <c r="D40" t="s">
        <v>372</v>
      </c>
      <c r="E40" s="1" t="s">
        <v>190</v>
      </c>
      <c r="F40" s="1" t="s">
        <v>191</v>
      </c>
      <c r="G40" s="1" t="s">
        <v>192</v>
      </c>
      <c r="H40" s="1" t="s">
        <v>80</v>
      </c>
      <c r="I40" s="1" t="s">
        <v>81</v>
      </c>
      <c r="J40" s="1" t="s">
        <v>82</v>
      </c>
      <c r="K40" s="68"/>
      <c r="L40" s="72">
        <v>44562</v>
      </c>
      <c r="M40" s="68" t="str">
        <f>TEXT(Table2[[#This Row],[Periode]],"Mmm-YYYY")</f>
        <v>Jan-2022</v>
      </c>
    </row>
    <row r="41" spans="1:13" ht="45" x14ac:dyDescent="0.25">
      <c r="A41" s="8" t="str">
        <f>Table2[[#This Row],[No]]&amp;(TEXT(Table2[[#This Row],[Periode]],"dd/mm/yyyy"))</f>
        <v>III.E.3.i01/01/2022</v>
      </c>
      <c r="B41" t="s">
        <v>548</v>
      </c>
      <c r="C41" t="s">
        <v>363</v>
      </c>
      <c r="D41" t="s">
        <v>372</v>
      </c>
      <c r="E41" s="1" t="s">
        <v>193</v>
      </c>
      <c r="F41" s="1" t="s">
        <v>34</v>
      </c>
      <c r="G41" s="1" t="s">
        <v>35</v>
      </c>
      <c r="H41" s="1" t="s">
        <v>86</v>
      </c>
      <c r="I41" s="1" t="s">
        <v>87</v>
      </c>
      <c r="J41" s="1" t="s">
        <v>88</v>
      </c>
      <c r="K41" s="68"/>
      <c r="L41" s="72">
        <v>44562</v>
      </c>
      <c r="M41" s="68" t="str">
        <f>TEXT(Table2[[#This Row],[Periode]],"Mmm-YYYY")</f>
        <v>Jan-2022</v>
      </c>
    </row>
    <row r="42" spans="1:13" ht="120" x14ac:dyDescent="0.25">
      <c r="A42" s="8" t="str">
        <f>Table2[[#This Row],[No]]&amp;(TEXT(Table2[[#This Row],[Periode]],"dd/mm/yyyy"))</f>
        <v>III.E.3.j01/01/2022</v>
      </c>
      <c r="B42" t="s">
        <v>549</v>
      </c>
      <c r="C42" t="s">
        <v>363</v>
      </c>
      <c r="D42" t="s">
        <v>372</v>
      </c>
      <c r="E42" s="1" t="s">
        <v>194</v>
      </c>
      <c r="F42" s="1" t="s">
        <v>195</v>
      </c>
      <c r="G42" s="1" t="s">
        <v>196</v>
      </c>
      <c r="H42" s="1" t="s">
        <v>91</v>
      </c>
      <c r="I42" s="1" t="s">
        <v>92</v>
      </c>
      <c r="J42" s="1" t="s">
        <v>93</v>
      </c>
      <c r="K42" s="68"/>
      <c r="L42" s="72">
        <v>44562</v>
      </c>
      <c r="M42" s="68" t="str">
        <f>TEXT(Table2[[#This Row],[Periode]],"Mmm-YYYY")</f>
        <v>Jan-2022</v>
      </c>
    </row>
    <row r="43" spans="1:13" ht="30" x14ac:dyDescent="0.25">
      <c r="A43" s="8" t="str">
        <f>Table2[[#This Row],[No]]&amp;(TEXT(Table2[[#This Row],[Periode]],"dd/mm/yyyy"))</f>
        <v>III.E.3.k01/01/2022</v>
      </c>
      <c r="B43" t="s">
        <v>550</v>
      </c>
      <c r="C43" t="s">
        <v>363</v>
      </c>
      <c r="D43" t="s">
        <v>372</v>
      </c>
      <c r="E43" s="1" t="s">
        <v>197</v>
      </c>
      <c r="F43" s="1" t="s">
        <v>34</v>
      </c>
      <c r="G43" s="1" t="s">
        <v>35</v>
      </c>
      <c r="H43" s="1" t="s">
        <v>86</v>
      </c>
      <c r="I43" s="1" t="s">
        <v>87</v>
      </c>
      <c r="J43" s="1" t="s">
        <v>88</v>
      </c>
      <c r="K43" s="68"/>
      <c r="L43" s="72">
        <v>44562</v>
      </c>
      <c r="M43" s="68" t="str">
        <f>TEXT(Table2[[#This Row],[Periode]],"Mmm-YYYY")</f>
        <v>Jan-2022</v>
      </c>
    </row>
    <row r="44" spans="1:13" ht="30" x14ac:dyDescent="0.25">
      <c r="A44" s="8" t="str">
        <f>Table2[[#This Row],[No]]&amp;(TEXT(Table2[[#This Row],[Periode]],"dd/mm/yyyy"))</f>
        <v>III.E.3.l01/01/2022</v>
      </c>
      <c r="B44" t="s">
        <v>551</v>
      </c>
      <c r="C44" t="s">
        <v>363</v>
      </c>
      <c r="D44" t="s">
        <v>372</v>
      </c>
      <c r="E44" s="1" t="s">
        <v>198</v>
      </c>
      <c r="F44" s="1" t="s">
        <v>95</v>
      </c>
      <c r="G44" s="1" t="s">
        <v>97</v>
      </c>
      <c r="H44" s="1" t="s">
        <v>98</v>
      </c>
      <c r="I44" s="1" t="s">
        <v>99</v>
      </c>
      <c r="J44" s="1" t="s">
        <v>100</v>
      </c>
      <c r="K44" s="68"/>
      <c r="L44" s="72">
        <v>44562</v>
      </c>
      <c r="M44" s="68" t="str">
        <f>TEXT(Table2[[#This Row],[Periode]],"Mmm-YYYY")</f>
        <v>Jan-2022</v>
      </c>
    </row>
    <row r="45" spans="1:13" ht="135" x14ac:dyDescent="0.25">
      <c r="A45" s="8" t="str">
        <f>Table2[[#This Row],[No]]&amp;(TEXT(Table2[[#This Row],[Periode]],"dd/mm/yyyy"))</f>
        <v>III.E.3.m01/01/2022</v>
      </c>
      <c r="B45" t="s">
        <v>552</v>
      </c>
      <c r="C45" t="s">
        <v>363</v>
      </c>
      <c r="D45" t="s">
        <v>372</v>
      </c>
      <c r="E45" s="1" t="s">
        <v>101</v>
      </c>
      <c r="F45" s="1" t="s">
        <v>102</v>
      </c>
      <c r="G45" s="1" t="s">
        <v>103</v>
      </c>
      <c r="H45" s="1" t="s">
        <v>104</v>
      </c>
      <c r="I45" s="1" t="s">
        <v>105</v>
      </c>
      <c r="J45" s="1" t="s">
        <v>106</v>
      </c>
      <c r="K45" s="68"/>
      <c r="L45" s="72">
        <v>44562</v>
      </c>
      <c r="M45" s="68" t="str">
        <f>TEXT(Table2[[#This Row],[Periode]],"Mmm-YYYY")</f>
        <v>Jan-2022</v>
      </c>
    </row>
    <row r="46" spans="1:13" ht="60" x14ac:dyDescent="0.25">
      <c r="A46" s="8" t="str">
        <f>Table2[[#This Row],[No]]&amp;(TEXT(Table2[[#This Row],[Periode]],"dd/mm/yyyy"))</f>
        <v>III.E.3.n01/01/2022</v>
      </c>
      <c r="B46" t="s">
        <v>553</v>
      </c>
      <c r="C46" t="s">
        <v>363</v>
      </c>
      <c r="D46" t="s">
        <v>372</v>
      </c>
      <c r="E46" s="1" t="s">
        <v>109</v>
      </c>
      <c r="F46" s="1" t="s">
        <v>107</v>
      </c>
      <c r="G46" s="1" t="s">
        <v>108</v>
      </c>
      <c r="H46" s="1" t="s">
        <v>110</v>
      </c>
      <c r="I46" s="1" t="s">
        <v>111</v>
      </c>
      <c r="J46" s="1" t="s">
        <v>112</v>
      </c>
      <c r="K46" s="68"/>
      <c r="L46" s="72">
        <v>44562</v>
      </c>
      <c r="M46" s="68" t="str">
        <f>TEXT(Table2[[#This Row],[Periode]],"Mmm-YYYY")</f>
        <v>Jan-2022</v>
      </c>
    </row>
    <row r="47" spans="1:13" ht="30" x14ac:dyDescent="0.25">
      <c r="A47" s="8" t="str">
        <f>Table2[[#This Row],[No]]&amp;(TEXT(Table2[[#This Row],[Periode]],"dd/mm/yyyy"))</f>
        <v>III.E.3.o01/01/2022</v>
      </c>
      <c r="B47" t="s">
        <v>554</v>
      </c>
      <c r="C47" t="s">
        <v>363</v>
      </c>
      <c r="D47" t="s">
        <v>372</v>
      </c>
      <c r="E47" s="1" t="s">
        <v>113</v>
      </c>
      <c r="F47" s="1" t="s">
        <v>34</v>
      </c>
      <c r="G47" s="1" t="s">
        <v>35</v>
      </c>
      <c r="H47" s="1" t="s">
        <v>86</v>
      </c>
      <c r="I47" s="1" t="s">
        <v>87</v>
      </c>
      <c r="J47" s="1" t="s">
        <v>114</v>
      </c>
      <c r="K47" s="68"/>
      <c r="L47" s="72">
        <v>44562</v>
      </c>
      <c r="M47" s="68" t="str">
        <f>TEXT(Table2[[#This Row],[Periode]],"Mmm-YYYY")</f>
        <v>Jan-2022</v>
      </c>
    </row>
    <row r="48" spans="1:13" ht="150" x14ac:dyDescent="0.25">
      <c r="A48" s="8" t="str">
        <f>Table2[[#This Row],[No]]&amp;(TEXT(Table2[[#This Row],[Periode]],"dd/mm/yyyy"))</f>
        <v>III.E.2.a01/01/2022</v>
      </c>
      <c r="B48" t="s">
        <v>534</v>
      </c>
      <c r="C48" t="s">
        <v>364</v>
      </c>
      <c r="D48" t="s">
        <v>371</v>
      </c>
      <c r="E48" s="1" t="s">
        <v>266</v>
      </c>
      <c r="F48" s="1" t="s">
        <v>264</v>
      </c>
      <c r="G48" s="1" t="s">
        <v>265</v>
      </c>
      <c r="H48" s="1" t="s">
        <v>267</v>
      </c>
      <c r="I48" s="1" t="s">
        <v>268</v>
      </c>
      <c r="J48" s="1" t="s">
        <v>269</v>
      </c>
      <c r="K48" s="68"/>
      <c r="L48" s="72">
        <v>44562</v>
      </c>
      <c r="M48" s="68" t="str">
        <f>TEXT(Table2[[#This Row],[Periode]],"Mmm-YYYY")</f>
        <v>Jan-2022</v>
      </c>
    </row>
    <row r="49" spans="1:13" ht="105" x14ac:dyDescent="0.25">
      <c r="A49" s="8" t="str">
        <f>Table2[[#This Row],[No]]&amp;(TEXT(Table2[[#This Row],[Periode]],"dd/mm/yyyy"))</f>
        <v>III.E.2.b01/01/2022</v>
      </c>
      <c r="B49" t="s">
        <v>535</v>
      </c>
      <c r="C49" t="s">
        <v>364</v>
      </c>
      <c r="D49" t="s">
        <v>371</v>
      </c>
      <c r="E49" s="1" t="s">
        <v>270</v>
      </c>
      <c r="F49" s="1" t="s">
        <v>271</v>
      </c>
      <c r="G49" s="1" t="s">
        <v>272</v>
      </c>
      <c r="H49" s="1" t="s">
        <v>273</v>
      </c>
      <c r="I49" s="1" t="s">
        <v>275</v>
      </c>
      <c r="J49" s="1" t="s">
        <v>274</v>
      </c>
      <c r="K49" s="68"/>
      <c r="L49" s="72">
        <v>44562</v>
      </c>
      <c r="M49" s="68" t="str">
        <f>TEXT(Table2[[#This Row],[Periode]],"Mmm-YYYY")</f>
        <v>Jan-2022</v>
      </c>
    </row>
    <row r="50" spans="1:13" ht="75" x14ac:dyDescent="0.25">
      <c r="A50" s="8" t="str">
        <f>Table2[[#This Row],[No]]&amp;(TEXT(Table2[[#This Row],[Periode]],"dd/mm/yyyy"))</f>
        <v>III.E.2.c01/01/2022</v>
      </c>
      <c r="B50" t="s">
        <v>536</v>
      </c>
      <c r="C50" t="s">
        <v>364</v>
      </c>
      <c r="D50" t="s">
        <v>371</v>
      </c>
      <c r="E50" s="1" t="s">
        <v>276</v>
      </c>
      <c r="F50" s="1" t="s">
        <v>277</v>
      </c>
      <c r="G50" s="1" t="s">
        <v>278</v>
      </c>
      <c r="H50" s="1" t="s">
        <v>279</v>
      </c>
      <c r="I50" s="1" t="s">
        <v>280</v>
      </c>
      <c r="J50" s="1" t="s">
        <v>281</v>
      </c>
      <c r="K50" s="68"/>
      <c r="L50" s="72">
        <v>44562</v>
      </c>
      <c r="M50" s="68" t="str">
        <f>TEXT(Table2[[#This Row],[Periode]],"Mmm-YYYY")</f>
        <v>Jan-2022</v>
      </c>
    </row>
    <row r="51" spans="1:13" ht="30" x14ac:dyDescent="0.25">
      <c r="A51" s="8" t="str">
        <f>Table2[[#This Row],[No]]&amp;(TEXT(Table2[[#This Row],[Periode]],"dd/mm/yyyy"))</f>
        <v>III.E.2.d01/01/2022</v>
      </c>
      <c r="B51" t="s">
        <v>537</v>
      </c>
      <c r="C51" t="s">
        <v>364</v>
      </c>
      <c r="D51" t="s">
        <v>371</v>
      </c>
      <c r="E51" s="1" t="s">
        <v>282</v>
      </c>
      <c r="F51" s="1" t="s">
        <v>283</v>
      </c>
      <c r="G51" s="1" t="s">
        <v>284</v>
      </c>
      <c r="H51" s="1" t="s">
        <v>285</v>
      </c>
      <c r="I51" s="1" t="s">
        <v>286</v>
      </c>
      <c r="J51" s="1" t="s">
        <v>287</v>
      </c>
      <c r="K51" s="68"/>
      <c r="L51" s="72">
        <v>44562</v>
      </c>
      <c r="M51" s="68" t="str">
        <f>TEXT(Table2[[#This Row],[Periode]],"Mmm-YYYY")</f>
        <v>Jan-2022</v>
      </c>
    </row>
    <row r="52" spans="1:13" ht="30" x14ac:dyDescent="0.25">
      <c r="A52" s="8" t="str">
        <f>Table2[[#This Row],[No]]&amp;(TEXT(Table2[[#This Row],[Periode]],"dd/mm/yyyy"))</f>
        <v>III.E.2.e01/01/2022</v>
      </c>
      <c r="B52" t="s">
        <v>538</v>
      </c>
      <c r="C52" t="s">
        <v>364</v>
      </c>
      <c r="D52" t="s">
        <v>371</v>
      </c>
      <c r="E52" s="1" t="s">
        <v>288</v>
      </c>
      <c r="F52" s="1" t="s">
        <v>283</v>
      </c>
      <c r="G52" s="1" t="s">
        <v>284</v>
      </c>
      <c r="H52" s="1" t="s">
        <v>285</v>
      </c>
      <c r="I52" s="1" t="s">
        <v>286</v>
      </c>
      <c r="J52" s="1" t="s">
        <v>287</v>
      </c>
      <c r="K52" s="68"/>
      <c r="L52" s="72">
        <v>44562</v>
      </c>
      <c r="M52" s="68" t="str">
        <f>TEXT(Table2[[#This Row],[Periode]],"Mmm-YYYY")</f>
        <v>Jan-2022</v>
      </c>
    </row>
    <row r="53" spans="1:13" ht="30" x14ac:dyDescent="0.25">
      <c r="A53" s="8" t="str">
        <f>Table2[[#This Row],[No]]&amp;(TEXT(Table2[[#This Row],[Periode]],"dd/mm/yyyy"))</f>
        <v>III.E.2.f01/01/2022</v>
      </c>
      <c r="B53" t="s">
        <v>539</v>
      </c>
      <c r="C53" t="s">
        <v>364</v>
      </c>
      <c r="D53" t="s">
        <v>371</v>
      </c>
      <c r="E53" s="1" t="s">
        <v>289</v>
      </c>
      <c r="F53" s="1" t="s">
        <v>290</v>
      </c>
      <c r="G53" s="1" t="s">
        <v>291</v>
      </c>
      <c r="H53" s="1" t="s">
        <v>292</v>
      </c>
      <c r="I53" s="1" t="s">
        <v>293</v>
      </c>
      <c r="J53" s="1" t="s">
        <v>294</v>
      </c>
      <c r="K53" s="68"/>
      <c r="L53" s="72">
        <v>44562</v>
      </c>
      <c r="M53" s="68" t="str">
        <f>TEXT(Table2[[#This Row],[Periode]],"Mmm-YYYY")</f>
        <v>Jan-2022</v>
      </c>
    </row>
    <row r="54" spans="1:13" x14ac:dyDescent="0.25">
      <c r="A54" s="8" t="str">
        <f>Table2[[#This Row],[No]]&amp;(TEXT(Table2[[#This Row],[Periode]],"dd/mm/yyyy"))</f>
        <v>III.E.1.1.a01/01/2022</v>
      </c>
      <c r="B54" t="s">
        <v>520</v>
      </c>
      <c r="C54" t="s">
        <v>364</v>
      </c>
      <c r="D54" t="s">
        <v>374</v>
      </c>
      <c r="E54" s="1" t="s">
        <v>343</v>
      </c>
      <c r="K54" s="68"/>
      <c r="L54" s="72">
        <v>44562</v>
      </c>
      <c r="M54" s="68" t="str">
        <f>TEXT(Table2[[#This Row],[Periode]],"Mmm-YYYY")</f>
        <v>Jan-2022</v>
      </c>
    </row>
    <row r="55" spans="1:13" ht="30" x14ac:dyDescent="0.25">
      <c r="A55" s="8" t="str">
        <f>Table2[[#This Row],[No]]&amp;(TEXT(Table2[[#This Row],[Periode]],"dd/mm/yyyy"))</f>
        <v>III.E.1.1.b01/01/2022</v>
      </c>
      <c r="B55" t="s">
        <v>521</v>
      </c>
      <c r="C55" t="s">
        <v>364</v>
      </c>
      <c r="D55" t="s">
        <v>374</v>
      </c>
      <c r="E55" s="1" t="s">
        <v>344</v>
      </c>
      <c r="K55" s="68">
        <v>2</v>
      </c>
      <c r="L55" s="72">
        <v>44562</v>
      </c>
      <c r="M55" s="68" t="str">
        <f>TEXT(Table2[[#This Row],[Periode]],"Mmm-YYYY")</f>
        <v>Jan-2022</v>
      </c>
    </row>
    <row r="56" spans="1:13" x14ac:dyDescent="0.25">
      <c r="A56" s="8" t="str">
        <f>Table2[[#This Row],[No]]&amp;(TEXT(Table2[[#This Row],[Periode]],"dd/mm/yyyy"))</f>
        <v>III.E.1.2.a01/01/2022</v>
      </c>
      <c r="B56" t="s">
        <v>522</v>
      </c>
      <c r="C56" t="s">
        <v>364</v>
      </c>
      <c r="D56" t="s">
        <v>374</v>
      </c>
      <c r="E56" s="1" t="s">
        <v>346</v>
      </c>
      <c r="K56" s="68"/>
      <c r="L56" s="72">
        <v>44562</v>
      </c>
      <c r="M56" s="68" t="str">
        <f>TEXT(Table2[[#This Row],[Periode]],"Mmm-YYYY")</f>
        <v>Jan-2022</v>
      </c>
    </row>
    <row r="57" spans="1:13" x14ac:dyDescent="0.25">
      <c r="A57" s="8" t="str">
        <f>Table2[[#This Row],[No]]&amp;(TEXT(Table2[[#This Row],[Periode]],"dd/mm/yyyy"))</f>
        <v>III.E.1.2.b01/01/2022</v>
      </c>
      <c r="B57" t="s">
        <v>523</v>
      </c>
      <c r="C57" t="s">
        <v>364</v>
      </c>
      <c r="D57" t="s">
        <v>374</v>
      </c>
      <c r="E57" s="1" t="s">
        <v>345</v>
      </c>
      <c r="K57" s="68"/>
      <c r="L57" s="72">
        <v>44562</v>
      </c>
      <c r="M57" s="68" t="str">
        <f>TEXT(Table2[[#This Row],[Periode]],"Mmm-YYYY")</f>
        <v>Jan-2022</v>
      </c>
    </row>
    <row r="58" spans="1:13" x14ac:dyDescent="0.25">
      <c r="A58" s="8" t="str">
        <f>Table2[[#This Row],[No]]&amp;(TEXT(Table2[[#This Row],[Periode]],"dd/mm/yyyy"))</f>
        <v>III.E.1.2.c01/01/2022</v>
      </c>
      <c r="B58" t="s">
        <v>524</v>
      </c>
      <c r="C58" t="s">
        <v>364</v>
      </c>
      <c r="D58" t="s">
        <v>374</v>
      </c>
      <c r="E58" s="1" t="s">
        <v>347</v>
      </c>
      <c r="K58" s="68"/>
      <c r="L58" s="72">
        <v>44562</v>
      </c>
      <c r="M58" s="68" t="str">
        <f>TEXT(Table2[[#This Row],[Periode]],"Mmm-YYYY")</f>
        <v>Jan-2022</v>
      </c>
    </row>
    <row r="59" spans="1:13" ht="30" x14ac:dyDescent="0.25">
      <c r="A59" s="8" t="str">
        <f>Table2[[#This Row],[No]]&amp;(TEXT(Table2[[#This Row],[Periode]],"dd/mm/yyyy"))</f>
        <v>III.E.1.2.d01/01/2022</v>
      </c>
      <c r="B59" t="s">
        <v>525</v>
      </c>
      <c r="C59" t="s">
        <v>364</v>
      </c>
      <c r="D59" t="s">
        <v>374</v>
      </c>
      <c r="E59" s="1" t="s">
        <v>348</v>
      </c>
      <c r="K59" s="68"/>
      <c r="L59" s="72">
        <v>44562</v>
      </c>
      <c r="M59" s="68" t="str">
        <f>TEXT(Table2[[#This Row],[Periode]],"Mmm-YYYY")</f>
        <v>Jan-2022</v>
      </c>
    </row>
    <row r="60" spans="1:13" x14ac:dyDescent="0.25">
      <c r="A60" s="8" t="str">
        <f>Table2[[#This Row],[No]]&amp;(TEXT(Table2[[#This Row],[Periode]],"dd/mm/yyyy"))</f>
        <v>III.E.1.2.e01/01/2022</v>
      </c>
      <c r="B60" t="s">
        <v>526</v>
      </c>
      <c r="C60" t="s">
        <v>364</v>
      </c>
      <c r="D60" t="s">
        <v>374</v>
      </c>
      <c r="E60" s="1" t="s">
        <v>349</v>
      </c>
      <c r="K60" s="68"/>
      <c r="L60" s="72">
        <v>44562</v>
      </c>
      <c r="M60" s="68" t="str">
        <f>TEXT(Table2[[#This Row],[Periode]],"Mmm-YYYY")</f>
        <v>Jan-2022</v>
      </c>
    </row>
    <row r="61" spans="1:13" ht="30" x14ac:dyDescent="0.25">
      <c r="A61" s="8" t="str">
        <f>Table2[[#This Row],[No]]&amp;(TEXT(Table2[[#This Row],[Periode]],"dd/mm/yyyy"))</f>
        <v>III.E.1.3.a01/01/2022</v>
      </c>
      <c r="B61" t="s">
        <v>527</v>
      </c>
      <c r="C61" t="s">
        <v>364</v>
      </c>
      <c r="D61" t="s">
        <v>374</v>
      </c>
      <c r="E61" s="1" t="s">
        <v>350</v>
      </c>
      <c r="K61" s="68"/>
      <c r="L61" s="72">
        <v>44562</v>
      </c>
      <c r="M61" s="68" t="str">
        <f>TEXT(Table2[[#This Row],[Periode]],"Mmm-YYYY")</f>
        <v>Jan-2022</v>
      </c>
    </row>
    <row r="62" spans="1:13" ht="30" x14ac:dyDescent="0.25">
      <c r="A62" s="8" t="str">
        <f>Table2[[#This Row],[No]]&amp;(TEXT(Table2[[#This Row],[Periode]],"dd/mm/yyyy"))</f>
        <v>III.E.1.3.b01/01/2022</v>
      </c>
      <c r="B62" t="s">
        <v>528</v>
      </c>
      <c r="C62" t="s">
        <v>364</v>
      </c>
      <c r="D62" t="s">
        <v>374</v>
      </c>
      <c r="E62" s="1" t="s">
        <v>351</v>
      </c>
      <c r="K62" s="68"/>
      <c r="L62" s="72">
        <v>44562</v>
      </c>
      <c r="M62" s="68" t="str">
        <f>TEXT(Table2[[#This Row],[Periode]],"Mmm-YYYY")</f>
        <v>Jan-2022</v>
      </c>
    </row>
    <row r="63" spans="1:13" ht="30" x14ac:dyDescent="0.25">
      <c r="A63" s="8" t="str">
        <f>Table2[[#This Row],[No]]&amp;(TEXT(Table2[[#This Row],[Periode]],"dd/mm/yyyy"))</f>
        <v>III.E.1.4.a01/01/2022</v>
      </c>
      <c r="B63" t="s">
        <v>529</v>
      </c>
      <c r="C63" t="s">
        <v>364</v>
      </c>
      <c r="D63" t="s">
        <v>374</v>
      </c>
      <c r="E63" s="1" t="s">
        <v>352</v>
      </c>
      <c r="K63" s="68"/>
      <c r="L63" s="72">
        <v>44562</v>
      </c>
      <c r="M63" s="68" t="str">
        <f>TEXT(Table2[[#This Row],[Periode]],"Mmm-YYYY")</f>
        <v>Jan-2022</v>
      </c>
    </row>
    <row r="64" spans="1:13" x14ac:dyDescent="0.25">
      <c r="A64" s="8" t="str">
        <f>Table2[[#This Row],[No]]&amp;(TEXT(Table2[[#This Row],[Periode]],"dd/mm/yyyy"))</f>
        <v>III.E.1.4.b01/01/2022</v>
      </c>
      <c r="B64" t="s">
        <v>530</v>
      </c>
      <c r="C64" t="s">
        <v>364</v>
      </c>
      <c r="D64" t="s">
        <v>374</v>
      </c>
      <c r="E64" s="1" t="s">
        <v>353</v>
      </c>
      <c r="K64" s="68"/>
      <c r="L64" s="72">
        <v>44562</v>
      </c>
      <c r="M64" s="68" t="str">
        <f>TEXT(Table2[[#This Row],[Periode]],"Mmm-YYYY")</f>
        <v>Jan-2022</v>
      </c>
    </row>
    <row r="65" spans="1:13" x14ac:dyDescent="0.25">
      <c r="A65" s="8" t="str">
        <f>Table2[[#This Row],[No]]&amp;(TEXT(Table2[[#This Row],[Periode]],"dd/mm/yyyy"))</f>
        <v>III.E.1.5.a01/01/2022</v>
      </c>
      <c r="B65" t="s">
        <v>531</v>
      </c>
      <c r="C65" t="s">
        <v>364</v>
      </c>
      <c r="D65" t="s">
        <v>374</v>
      </c>
      <c r="E65" s="1" t="s">
        <v>354</v>
      </c>
      <c r="K65" s="68"/>
      <c r="L65" s="72">
        <v>44562</v>
      </c>
      <c r="M65" s="68" t="str">
        <f>TEXT(Table2[[#This Row],[Periode]],"Mmm-YYYY")</f>
        <v>Jan-2022</v>
      </c>
    </row>
    <row r="66" spans="1:13" ht="30" x14ac:dyDescent="0.25">
      <c r="A66" s="8" t="str">
        <f>Table2[[#This Row],[No]]&amp;(TEXT(Table2[[#This Row],[Periode]],"dd/mm/yyyy"))</f>
        <v>III.E.1.5.b01/01/2022</v>
      </c>
      <c r="B66" t="s">
        <v>532</v>
      </c>
      <c r="C66" t="s">
        <v>364</v>
      </c>
      <c r="D66" t="s">
        <v>374</v>
      </c>
      <c r="E66" s="1" t="s">
        <v>355</v>
      </c>
      <c r="K66" s="68"/>
      <c r="L66" s="72">
        <v>44562</v>
      </c>
      <c r="M66" s="68" t="str">
        <f>TEXT(Table2[[#This Row],[Periode]],"Mmm-YYYY")</f>
        <v>Jan-2022</v>
      </c>
    </row>
    <row r="67" spans="1:13" x14ac:dyDescent="0.25">
      <c r="A67" s="8" t="str">
        <f>Table2[[#This Row],[No]]&amp;(TEXT(Table2[[#This Row],[Periode]],"dd/mm/yyyy"))</f>
        <v>III.E.1.5.c01/01/2022</v>
      </c>
      <c r="B67" t="s">
        <v>533</v>
      </c>
      <c r="C67" t="s">
        <v>364</v>
      </c>
      <c r="D67" t="s">
        <v>374</v>
      </c>
      <c r="E67" s="1" t="s">
        <v>356</v>
      </c>
      <c r="K67" s="68"/>
      <c r="L67" s="72">
        <v>44562</v>
      </c>
      <c r="M67" s="68" t="str">
        <f>TEXT(Table2[[#This Row],[Periode]],"Mmm-YYYY")</f>
        <v>Jan-2022</v>
      </c>
    </row>
    <row r="68" spans="1:13" ht="60" x14ac:dyDescent="0.25">
      <c r="A68" s="8" t="str">
        <f>Table2[[#This Row],[No]]&amp;(TEXT(Table2[[#This Row],[Periode]],"dd/mm/yyyy"))</f>
        <v>III.A.3.a01/01/2022</v>
      </c>
      <c r="B68" t="s">
        <v>401</v>
      </c>
      <c r="C68" t="s">
        <v>359</v>
      </c>
      <c r="D68" t="s">
        <v>372</v>
      </c>
      <c r="E68" s="1" t="s">
        <v>42</v>
      </c>
      <c r="F68" s="1" t="s">
        <v>36</v>
      </c>
      <c r="G68" s="1" t="s">
        <v>37</v>
      </c>
      <c r="H68" s="1" t="s">
        <v>38</v>
      </c>
      <c r="I68" s="1" t="s">
        <v>39</v>
      </c>
      <c r="J68" s="1" t="s">
        <v>40</v>
      </c>
      <c r="K68" s="68">
        <v>3</v>
      </c>
      <c r="L68" s="72">
        <v>44562</v>
      </c>
      <c r="M68" s="68" t="str">
        <f>TEXT(Table2[[#This Row],[Periode]],"Mmm-YYYY")</f>
        <v>Jan-2022</v>
      </c>
    </row>
    <row r="69" spans="1:13" ht="75" x14ac:dyDescent="0.25">
      <c r="A69" s="8" t="str">
        <f>Table2[[#This Row],[No]]&amp;(TEXT(Table2[[#This Row],[Periode]],"dd/mm/yyyy"))</f>
        <v>III.A.3.b01/01/2022</v>
      </c>
      <c r="B69" t="s">
        <v>402</v>
      </c>
      <c r="C69" t="s">
        <v>359</v>
      </c>
      <c r="D69" t="s">
        <v>372</v>
      </c>
      <c r="E69" s="1" t="s">
        <v>41</v>
      </c>
      <c r="F69" s="1" t="s">
        <v>43</v>
      </c>
      <c r="G69" s="1" t="s">
        <v>44</v>
      </c>
      <c r="H69" s="1" t="s">
        <v>45</v>
      </c>
      <c r="I69" s="1" t="s">
        <v>64</v>
      </c>
      <c r="J69" s="1" t="s">
        <v>65</v>
      </c>
      <c r="K69" s="68">
        <v>5</v>
      </c>
      <c r="L69" s="72">
        <v>44562</v>
      </c>
      <c r="M69" s="68" t="str">
        <f>TEXT(Table2[[#This Row],[Periode]],"Mmm-YYYY")</f>
        <v>Jan-2022</v>
      </c>
    </row>
    <row r="70" spans="1:13" ht="60" x14ac:dyDescent="0.25">
      <c r="A70" s="8" t="str">
        <f>Table2[[#This Row],[No]]&amp;(TEXT(Table2[[#This Row],[Periode]],"dd/mm/yyyy"))</f>
        <v>III.A.3.c01/01/2022</v>
      </c>
      <c r="B70" t="s">
        <v>403</v>
      </c>
      <c r="C70" t="s">
        <v>359</v>
      </c>
      <c r="D70" t="s">
        <v>372</v>
      </c>
      <c r="E70" s="1" t="s">
        <v>47</v>
      </c>
      <c r="F70" s="1" t="s">
        <v>52</v>
      </c>
      <c r="G70" s="1" t="s">
        <v>51</v>
      </c>
      <c r="H70" s="1" t="s">
        <v>50</v>
      </c>
      <c r="I70" s="1" t="s">
        <v>49</v>
      </c>
      <c r="J70" s="1" t="s">
        <v>48</v>
      </c>
      <c r="K70" s="68">
        <v>5</v>
      </c>
      <c r="L70" s="72">
        <v>44562</v>
      </c>
      <c r="M70" s="68" t="str">
        <f>TEXT(Table2[[#This Row],[Periode]],"Mmm-YYYY")</f>
        <v>Jan-2022</v>
      </c>
    </row>
    <row r="71" spans="1:13" ht="105" x14ac:dyDescent="0.25">
      <c r="A71" s="8" t="str">
        <f>Table2[[#This Row],[No]]&amp;(TEXT(Table2[[#This Row],[Periode]],"dd/mm/yyyy"))</f>
        <v>III.A.3.d01/01/2022</v>
      </c>
      <c r="B71" t="s">
        <v>404</v>
      </c>
      <c r="C71" t="s">
        <v>359</v>
      </c>
      <c r="D71" t="s">
        <v>372</v>
      </c>
      <c r="E71" s="1" t="s">
        <v>55</v>
      </c>
      <c r="F71" s="1" t="s">
        <v>34</v>
      </c>
      <c r="G71" s="1" t="s">
        <v>54</v>
      </c>
      <c r="H71" s="1" t="s">
        <v>53</v>
      </c>
      <c r="I71" s="1" t="s">
        <v>56</v>
      </c>
      <c r="J71" s="1" t="s">
        <v>57</v>
      </c>
      <c r="K71" s="68">
        <v>5</v>
      </c>
      <c r="L71" s="72">
        <v>44562</v>
      </c>
      <c r="M71" s="68" t="str">
        <f>TEXT(Table2[[#This Row],[Periode]],"Mmm-YYYY")</f>
        <v>Jan-2022</v>
      </c>
    </row>
    <row r="72" spans="1:13" ht="120" x14ac:dyDescent="0.25">
      <c r="A72" s="8" t="str">
        <f>Table2[[#This Row],[No]]&amp;(TEXT(Table2[[#This Row],[Periode]],"dd/mm/yyyy"))</f>
        <v>III.A.3.e01/01/2022</v>
      </c>
      <c r="B72" t="s">
        <v>405</v>
      </c>
      <c r="C72" t="s">
        <v>359</v>
      </c>
      <c r="D72" t="s">
        <v>372</v>
      </c>
      <c r="E72" s="1" t="s">
        <v>59</v>
      </c>
      <c r="F72" s="1" t="s">
        <v>58</v>
      </c>
      <c r="G72" s="1" t="s">
        <v>60</v>
      </c>
      <c r="H72" s="1" t="s">
        <v>61</v>
      </c>
      <c r="I72" s="1" t="s">
        <v>62</v>
      </c>
      <c r="J72" s="1" t="s">
        <v>63</v>
      </c>
      <c r="K72" s="68">
        <v>5</v>
      </c>
      <c r="L72" s="72">
        <v>44562</v>
      </c>
      <c r="M72" s="68" t="str">
        <f>TEXT(Table2[[#This Row],[Periode]],"Mmm-YYYY")</f>
        <v>Jan-2022</v>
      </c>
    </row>
    <row r="73" spans="1:13" ht="60" x14ac:dyDescent="0.25">
      <c r="A73" s="8" t="str">
        <f>Table2[[#This Row],[No]]&amp;(TEXT(Table2[[#This Row],[Periode]],"dd/mm/yyyy"))</f>
        <v>III.A.3.f01/01/2022</v>
      </c>
      <c r="B73" t="s">
        <v>406</v>
      </c>
      <c r="C73" t="s">
        <v>359</v>
      </c>
      <c r="D73" t="s">
        <v>372</v>
      </c>
      <c r="E73" s="1" t="s">
        <v>68</v>
      </c>
      <c r="F73" s="1" t="s">
        <v>69</v>
      </c>
      <c r="G73" s="1" t="s">
        <v>70</v>
      </c>
      <c r="H73" s="1" t="s">
        <v>66</v>
      </c>
      <c r="I73" s="1" t="s">
        <v>67</v>
      </c>
      <c r="J73" s="1" t="s">
        <v>71</v>
      </c>
      <c r="K73" s="68">
        <v>5</v>
      </c>
      <c r="L73" s="72">
        <v>44562</v>
      </c>
      <c r="M73" s="68" t="str">
        <f>TEXT(Table2[[#This Row],[Periode]],"Mmm-YYYY")</f>
        <v>Jan-2022</v>
      </c>
    </row>
    <row r="74" spans="1:13" ht="45" x14ac:dyDescent="0.25">
      <c r="A74" s="8" t="str">
        <f>Table2[[#This Row],[No]]&amp;(TEXT(Table2[[#This Row],[Periode]],"dd/mm/yyyy"))</f>
        <v>III.A.3.g01/01/2022</v>
      </c>
      <c r="B74" t="s">
        <v>407</v>
      </c>
      <c r="C74" t="s">
        <v>359</v>
      </c>
      <c r="D74" t="s">
        <v>372</v>
      </c>
      <c r="E74" s="1" t="s">
        <v>72</v>
      </c>
      <c r="F74" s="1" t="s">
        <v>73</v>
      </c>
      <c r="G74" s="1" t="s">
        <v>74</v>
      </c>
      <c r="H74" s="1" t="s">
        <v>75</v>
      </c>
      <c r="I74" s="1" t="s">
        <v>76</v>
      </c>
      <c r="J74" s="1" t="s">
        <v>77</v>
      </c>
      <c r="K74" s="68">
        <v>5</v>
      </c>
      <c r="L74" s="72">
        <v>44562</v>
      </c>
      <c r="M74" s="68" t="str">
        <f>TEXT(Table2[[#This Row],[Periode]],"Mmm-YYYY")</f>
        <v>Jan-2022</v>
      </c>
    </row>
    <row r="75" spans="1:13" ht="150" x14ac:dyDescent="0.25">
      <c r="A75" s="8" t="str">
        <f>Table2[[#This Row],[No]]&amp;(TEXT(Table2[[#This Row],[Periode]],"dd/mm/yyyy"))</f>
        <v>III.A.3.h01/01/2022</v>
      </c>
      <c r="B75" t="s">
        <v>408</v>
      </c>
      <c r="C75" t="s">
        <v>359</v>
      </c>
      <c r="D75" t="s">
        <v>372</v>
      </c>
      <c r="E75" s="1" t="s">
        <v>78</v>
      </c>
      <c r="F75" s="1" t="s">
        <v>79</v>
      </c>
      <c r="G75" s="1" t="s">
        <v>166</v>
      </c>
      <c r="H75" s="1" t="s">
        <v>80</v>
      </c>
      <c r="I75" s="1" t="s">
        <v>81</v>
      </c>
      <c r="J75" s="1" t="s">
        <v>82</v>
      </c>
      <c r="K75" s="68">
        <v>5</v>
      </c>
      <c r="L75" s="72">
        <v>44562</v>
      </c>
      <c r="M75" s="68" t="str">
        <f>TEXT(Table2[[#This Row],[Periode]],"Mmm-YYYY")</f>
        <v>Jan-2022</v>
      </c>
    </row>
    <row r="76" spans="1:13" ht="45" x14ac:dyDescent="0.25">
      <c r="A76" s="8" t="str">
        <f>Table2[[#This Row],[No]]&amp;(TEXT(Table2[[#This Row],[Periode]],"dd/mm/yyyy"))</f>
        <v>III.A.3.i01/01/2022</v>
      </c>
      <c r="B76" t="s">
        <v>409</v>
      </c>
      <c r="C76" t="s">
        <v>359</v>
      </c>
      <c r="D76" t="s">
        <v>372</v>
      </c>
      <c r="E76" s="1" t="s">
        <v>85</v>
      </c>
      <c r="F76" s="1" t="s">
        <v>34</v>
      </c>
      <c r="G76" s="1" t="s">
        <v>35</v>
      </c>
      <c r="H76" s="1" t="s">
        <v>86</v>
      </c>
      <c r="I76" s="1" t="s">
        <v>87</v>
      </c>
      <c r="J76" s="1" t="s">
        <v>88</v>
      </c>
      <c r="K76" s="68">
        <v>5</v>
      </c>
      <c r="L76" s="72">
        <v>44562</v>
      </c>
      <c r="M76" s="68" t="str">
        <f>TEXT(Table2[[#This Row],[Periode]],"Mmm-YYYY")</f>
        <v>Jan-2022</v>
      </c>
    </row>
    <row r="77" spans="1:13" ht="120" x14ac:dyDescent="0.25">
      <c r="A77" s="8" t="str">
        <f>Table2[[#This Row],[No]]&amp;(TEXT(Table2[[#This Row],[Periode]],"dd/mm/yyyy"))</f>
        <v>III.A.3.j01/01/2022</v>
      </c>
      <c r="B77" t="s">
        <v>410</v>
      </c>
      <c r="C77" t="s">
        <v>359</v>
      </c>
      <c r="D77" t="s">
        <v>372</v>
      </c>
      <c r="E77" s="1" t="s">
        <v>89</v>
      </c>
      <c r="F77" s="1" t="s">
        <v>84</v>
      </c>
      <c r="G77" s="1" t="s">
        <v>90</v>
      </c>
      <c r="H77" s="1" t="s">
        <v>91</v>
      </c>
      <c r="I77" s="1" t="s">
        <v>92</v>
      </c>
      <c r="J77" s="1" t="s">
        <v>93</v>
      </c>
      <c r="K77" s="68">
        <v>5</v>
      </c>
      <c r="L77" s="72">
        <v>44562</v>
      </c>
      <c r="M77" s="68" t="str">
        <f>TEXT(Table2[[#This Row],[Periode]],"Mmm-YYYY")</f>
        <v>Jan-2022</v>
      </c>
    </row>
    <row r="78" spans="1:13" ht="30" x14ac:dyDescent="0.25">
      <c r="A78" s="8" t="str">
        <f>Table2[[#This Row],[No]]&amp;(TEXT(Table2[[#This Row],[Periode]],"dd/mm/yyyy"))</f>
        <v>III.A.3.k01/01/2022</v>
      </c>
      <c r="B78" t="s">
        <v>411</v>
      </c>
      <c r="C78" t="s">
        <v>359</v>
      </c>
      <c r="D78" t="s">
        <v>372</v>
      </c>
      <c r="E78" s="1" t="s">
        <v>94</v>
      </c>
      <c r="F78" s="1" t="s">
        <v>34</v>
      </c>
      <c r="G78" s="1" t="s">
        <v>35</v>
      </c>
      <c r="H78" s="1" t="s">
        <v>86</v>
      </c>
      <c r="I78" s="1" t="s">
        <v>87</v>
      </c>
      <c r="J78" s="1" t="s">
        <v>88</v>
      </c>
      <c r="K78" s="68">
        <v>5</v>
      </c>
      <c r="L78" s="72">
        <v>44562</v>
      </c>
      <c r="M78" s="68" t="str">
        <f>TEXT(Table2[[#This Row],[Periode]],"Mmm-YYYY")</f>
        <v>Jan-2022</v>
      </c>
    </row>
    <row r="79" spans="1:13" ht="30" x14ac:dyDescent="0.25">
      <c r="A79" s="8" t="str">
        <f>Table2[[#This Row],[No]]&amp;(TEXT(Table2[[#This Row],[Periode]],"dd/mm/yyyy"))</f>
        <v>III.A.3.l01/01/2022</v>
      </c>
      <c r="B79" t="s">
        <v>412</v>
      </c>
      <c r="C79" t="s">
        <v>359</v>
      </c>
      <c r="D79" t="s">
        <v>372</v>
      </c>
      <c r="E79" s="1" t="s">
        <v>96</v>
      </c>
      <c r="F79" s="1" t="s">
        <v>95</v>
      </c>
      <c r="G79" s="1" t="s">
        <v>97</v>
      </c>
      <c r="H79" s="1" t="s">
        <v>98</v>
      </c>
      <c r="I79" s="1" t="s">
        <v>99</v>
      </c>
      <c r="J79" s="1" t="s">
        <v>100</v>
      </c>
      <c r="K79" s="68">
        <v>5</v>
      </c>
      <c r="L79" s="72">
        <v>44562</v>
      </c>
      <c r="M79" s="68" t="str">
        <f>TEXT(Table2[[#This Row],[Periode]],"Mmm-YYYY")</f>
        <v>Jan-2022</v>
      </c>
    </row>
    <row r="80" spans="1:13" ht="135" x14ac:dyDescent="0.25">
      <c r="A80" s="8" t="str">
        <f>Table2[[#This Row],[No]]&amp;(TEXT(Table2[[#This Row],[Periode]],"dd/mm/yyyy"))</f>
        <v>III.A.3.m01/01/2022</v>
      </c>
      <c r="B80" t="s">
        <v>413</v>
      </c>
      <c r="C80" t="s">
        <v>359</v>
      </c>
      <c r="D80" t="s">
        <v>372</v>
      </c>
      <c r="E80" s="1" t="s">
        <v>101</v>
      </c>
      <c r="F80" s="1" t="s">
        <v>102</v>
      </c>
      <c r="G80" s="1" t="s">
        <v>103</v>
      </c>
      <c r="H80" s="1" t="s">
        <v>104</v>
      </c>
      <c r="I80" s="1" t="s">
        <v>105</v>
      </c>
      <c r="J80" s="1" t="s">
        <v>106</v>
      </c>
      <c r="K80" s="68"/>
      <c r="L80" s="72">
        <v>44562</v>
      </c>
      <c r="M80" s="68" t="str">
        <f>TEXT(Table2[[#This Row],[Periode]],"Mmm-YYYY")</f>
        <v>Jan-2022</v>
      </c>
    </row>
    <row r="81" spans="1:13" ht="60" x14ac:dyDescent="0.25">
      <c r="A81" s="8" t="str">
        <f>Table2[[#This Row],[No]]&amp;(TEXT(Table2[[#This Row],[Periode]],"dd/mm/yyyy"))</f>
        <v>III.A.3.n01/01/2022</v>
      </c>
      <c r="B81" t="s">
        <v>414</v>
      </c>
      <c r="C81" t="s">
        <v>359</v>
      </c>
      <c r="D81" t="s">
        <v>372</v>
      </c>
      <c r="E81" s="1" t="s">
        <v>109</v>
      </c>
      <c r="F81" s="1" t="s">
        <v>107</v>
      </c>
      <c r="G81" s="1" t="s">
        <v>108</v>
      </c>
      <c r="H81" s="1" t="s">
        <v>110</v>
      </c>
      <c r="I81" s="1" t="s">
        <v>111</v>
      </c>
      <c r="J81" s="1" t="s">
        <v>112</v>
      </c>
      <c r="K81" s="68">
        <v>5</v>
      </c>
      <c r="L81" s="72">
        <v>44562</v>
      </c>
      <c r="M81" s="68" t="str">
        <f>TEXT(Table2[[#This Row],[Periode]],"Mmm-YYYY")</f>
        <v>Jan-2022</v>
      </c>
    </row>
    <row r="82" spans="1:13" ht="30" x14ac:dyDescent="0.25">
      <c r="A82" s="8" t="str">
        <f>Table2[[#This Row],[No]]&amp;(TEXT(Table2[[#This Row],[Periode]],"dd/mm/yyyy"))</f>
        <v>III.A.3.o01/01/2022</v>
      </c>
      <c r="B82" t="s">
        <v>415</v>
      </c>
      <c r="C82" t="s">
        <v>359</v>
      </c>
      <c r="D82" t="s">
        <v>372</v>
      </c>
      <c r="E82" s="1" t="s">
        <v>113</v>
      </c>
      <c r="F82" s="1" t="s">
        <v>34</v>
      </c>
      <c r="G82" s="1" t="s">
        <v>35</v>
      </c>
      <c r="H82" s="1" t="s">
        <v>86</v>
      </c>
      <c r="I82" s="1" t="s">
        <v>87</v>
      </c>
      <c r="J82" s="1" t="s">
        <v>114</v>
      </c>
      <c r="K82" s="68">
        <v>5</v>
      </c>
      <c r="L82" s="72">
        <v>44562</v>
      </c>
      <c r="M82" s="68" t="str">
        <f>TEXT(Table2[[#This Row],[Periode]],"Mmm-YYYY")</f>
        <v>Jan-2022</v>
      </c>
    </row>
    <row r="83" spans="1:13" ht="105" x14ac:dyDescent="0.25">
      <c r="A83" s="8" t="str">
        <f>Table2[[#This Row],[No]]&amp;(TEXT(Table2[[#This Row],[Periode]],"dd/mm/yyyy"))</f>
        <v>III.A.2.a01/01/2022</v>
      </c>
      <c r="B83" t="s">
        <v>396</v>
      </c>
      <c r="C83" t="s">
        <v>368</v>
      </c>
      <c r="D83" t="s">
        <v>371</v>
      </c>
      <c r="E83" s="1" t="s">
        <v>117</v>
      </c>
      <c r="F83" s="1" t="s">
        <v>115</v>
      </c>
      <c r="G83" s="1" t="s">
        <v>116</v>
      </c>
      <c r="H83" s="1" t="s">
        <v>138</v>
      </c>
      <c r="I83" s="1" t="s">
        <v>118</v>
      </c>
      <c r="J83" s="1" t="s">
        <v>119</v>
      </c>
      <c r="K83" s="68">
        <v>5</v>
      </c>
      <c r="L83" s="72">
        <v>44562</v>
      </c>
      <c r="M83" s="68" t="str">
        <f>TEXT(Table2[[#This Row],[Periode]],"Mmm-YYYY")</f>
        <v>Jan-2022</v>
      </c>
    </row>
    <row r="84" spans="1:13" ht="30" x14ac:dyDescent="0.25">
      <c r="A84" s="8" t="str">
        <f>Table2[[#This Row],[No]]&amp;(TEXT(Table2[[#This Row],[Periode]],"dd/mm/yyyy"))</f>
        <v>III.A.2.b01/01/2022</v>
      </c>
      <c r="B84" t="s">
        <v>397</v>
      </c>
      <c r="C84" t="s">
        <v>368</v>
      </c>
      <c r="D84" t="s">
        <v>371</v>
      </c>
      <c r="E84" s="1" t="s">
        <v>124</v>
      </c>
      <c r="F84" s="1" t="s">
        <v>125</v>
      </c>
      <c r="G84" s="1" t="s">
        <v>120</v>
      </c>
      <c r="H84" s="1" t="s">
        <v>121</v>
      </c>
      <c r="I84" s="1" t="s">
        <v>122</v>
      </c>
      <c r="J84" s="1" t="s">
        <v>123</v>
      </c>
      <c r="K84" s="68">
        <v>5</v>
      </c>
      <c r="L84" s="72">
        <v>44562</v>
      </c>
      <c r="M84" s="68" t="str">
        <f>TEXT(Table2[[#This Row],[Periode]],"Mmm-YYYY")</f>
        <v>Jan-2022</v>
      </c>
    </row>
    <row r="85" spans="1:13" ht="45" x14ac:dyDescent="0.25">
      <c r="A85" s="8" t="str">
        <f>Table2[[#This Row],[No]]&amp;(TEXT(Table2[[#This Row],[Periode]],"dd/mm/yyyy"))</f>
        <v>III.A.2.c01/01/2022</v>
      </c>
      <c r="B85" t="s">
        <v>398</v>
      </c>
      <c r="C85" t="s">
        <v>368</v>
      </c>
      <c r="D85" t="s">
        <v>371</v>
      </c>
      <c r="E85" s="1" t="s">
        <v>128</v>
      </c>
      <c r="F85" s="1" t="s">
        <v>129</v>
      </c>
      <c r="G85" s="1" t="s">
        <v>126</v>
      </c>
      <c r="H85" s="1" t="s">
        <v>127</v>
      </c>
      <c r="I85" s="1" t="s">
        <v>130</v>
      </c>
      <c r="J85" s="1" t="s">
        <v>131</v>
      </c>
      <c r="K85" s="68">
        <v>5</v>
      </c>
      <c r="L85" s="72">
        <v>44562</v>
      </c>
      <c r="M85" s="68" t="str">
        <f>TEXT(Table2[[#This Row],[Periode]],"Mmm-YYYY")</f>
        <v>Jan-2022</v>
      </c>
    </row>
    <row r="86" spans="1:13" ht="60" x14ac:dyDescent="0.25">
      <c r="A86" s="8" t="str">
        <f>Table2[[#This Row],[No]]&amp;(TEXT(Table2[[#This Row],[Periode]],"dd/mm/yyyy"))</f>
        <v>III.A.2.d01/01/2022</v>
      </c>
      <c r="B86" t="s">
        <v>399</v>
      </c>
      <c r="C86" t="s">
        <v>368</v>
      </c>
      <c r="D86" t="s">
        <v>371</v>
      </c>
      <c r="E86" s="1" t="s">
        <v>132</v>
      </c>
      <c r="F86" s="1" t="s">
        <v>133</v>
      </c>
      <c r="G86" s="1" t="s">
        <v>134</v>
      </c>
      <c r="H86" s="1" t="s">
        <v>135</v>
      </c>
      <c r="I86" s="1" t="s">
        <v>136</v>
      </c>
      <c r="J86" s="1" t="s">
        <v>416</v>
      </c>
      <c r="K86" s="68">
        <v>5</v>
      </c>
      <c r="L86" s="72">
        <v>44562</v>
      </c>
      <c r="M86" s="68" t="str">
        <f>TEXT(Table2[[#This Row],[Periode]],"Mmm-YYYY")</f>
        <v>Jan-2022</v>
      </c>
    </row>
    <row r="87" spans="1:13" x14ac:dyDescent="0.25">
      <c r="A87" s="8" t="str">
        <f>Table2[[#This Row],[No]]&amp;(TEXT(Table2[[#This Row],[Periode]],"dd/mm/yyyy"))</f>
        <v>III.A.2.e01/01/2022</v>
      </c>
      <c r="B87" t="s">
        <v>400</v>
      </c>
      <c r="C87" t="s">
        <v>368</v>
      </c>
      <c r="D87" t="s">
        <v>371</v>
      </c>
      <c r="E87" s="1" t="s">
        <v>137</v>
      </c>
      <c r="F87" s="1" t="s">
        <v>34</v>
      </c>
      <c r="G87" s="1" t="s">
        <v>35</v>
      </c>
      <c r="H87" s="1" t="s">
        <v>86</v>
      </c>
      <c r="I87" s="1" t="s">
        <v>87</v>
      </c>
      <c r="J87" s="1" t="s">
        <v>88</v>
      </c>
      <c r="K87" s="68">
        <v>5</v>
      </c>
      <c r="L87" s="72">
        <v>44562</v>
      </c>
      <c r="M87" s="68" t="str">
        <f>TEXT(Table2[[#This Row],[Periode]],"Mmm-YYYY")</f>
        <v>Jan-2022</v>
      </c>
    </row>
    <row r="88" spans="1:13" ht="30" x14ac:dyDescent="0.25">
      <c r="A88" s="8" t="str">
        <f>Table2[[#This Row],[No]]&amp;(TEXT(Table2[[#This Row],[Periode]],"dd/mm/yyyy"))</f>
        <v>III.A.1.1.a01/01/2022</v>
      </c>
      <c r="B88" t="s">
        <v>383</v>
      </c>
      <c r="C88" t="s">
        <v>368</v>
      </c>
      <c r="D88" t="s">
        <v>374</v>
      </c>
      <c r="E88" s="1" t="s">
        <v>0</v>
      </c>
      <c r="K88" s="68">
        <v>5</v>
      </c>
      <c r="L88" s="72">
        <v>44562</v>
      </c>
      <c r="M88" s="68" t="str">
        <f>TEXT(Table2[[#This Row],[Periode]],"Mmm-YYYY")</f>
        <v>Jan-2022</v>
      </c>
    </row>
    <row r="89" spans="1:13" ht="30" x14ac:dyDescent="0.25">
      <c r="A89" s="8" t="str">
        <f>Table2[[#This Row],[No]]&amp;(TEXT(Table2[[#This Row],[Periode]],"dd/mm/yyyy"))</f>
        <v>III.A.1.1.b01/01/2022</v>
      </c>
      <c r="B89" t="s">
        <v>384</v>
      </c>
      <c r="C89" t="s">
        <v>368</v>
      </c>
      <c r="D89" t="s">
        <v>374</v>
      </c>
      <c r="E89" s="1" t="s">
        <v>3</v>
      </c>
      <c r="K89" s="68">
        <v>5</v>
      </c>
      <c r="L89" s="72">
        <v>44562</v>
      </c>
      <c r="M89" s="68" t="str">
        <f>TEXT(Table2[[#This Row],[Periode]],"Mmm-YYYY")</f>
        <v>Jan-2022</v>
      </c>
    </row>
    <row r="90" spans="1:13" ht="45" x14ac:dyDescent="0.25">
      <c r="A90" s="8" t="str">
        <f>Table2[[#This Row],[No]]&amp;(TEXT(Table2[[#This Row],[Periode]],"dd/mm/yyyy"))</f>
        <v>III.A.1.1.c01/01/2022</v>
      </c>
      <c r="B90" t="s">
        <v>385</v>
      </c>
      <c r="C90" t="s">
        <v>368</v>
      </c>
      <c r="D90" t="s">
        <v>374</v>
      </c>
      <c r="E90" s="1" t="s">
        <v>4</v>
      </c>
      <c r="K90" s="68">
        <v>5</v>
      </c>
      <c r="L90" s="72">
        <v>44562</v>
      </c>
      <c r="M90" s="68" t="str">
        <f>TEXT(Table2[[#This Row],[Periode]],"Mmm-YYYY")</f>
        <v>Jan-2022</v>
      </c>
    </row>
    <row r="91" spans="1:13" ht="45" x14ac:dyDescent="0.25">
      <c r="A91" s="8" t="str">
        <f>Table2[[#This Row],[No]]&amp;(TEXT(Table2[[#This Row],[Periode]],"dd/mm/yyyy"))</f>
        <v>III.A.1.1.d01/01/2022</v>
      </c>
      <c r="B91" t="s">
        <v>386</v>
      </c>
      <c r="C91" t="s">
        <v>368</v>
      </c>
      <c r="D91" t="s">
        <v>374</v>
      </c>
      <c r="E91" s="1" t="s">
        <v>5</v>
      </c>
      <c r="K91" s="68">
        <v>5</v>
      </c>
      <c r="L91" s="72">
        <v>44562</v>
      </c>
      <c r="M91" s="68" t="str">
        <f>TEXT(Table2[[#This Row],[Periode]],"Mmm-YYYY")</f>
        <v>Jan-2022</v>
      </c>
    </row>
    <row r="92" spans="1:13" ht="240" x14ac:dyDescent="0.25">
      <c r="A92" s="8" t="str">
        <f>Table2[[#This Row],[No]]&amp;(TEXT(Table2[[#This Row],[Periode]],"dd/mm/yyyy"))</f>
        <v>III.A.1.1.e01/01/2022</v>
      </c>
      <c r="B92" t="s">
        <v>387</v>
      </c>
      <c r="C92" t="s">
        <v>368</v>
      </c>
      <c r="D92" t="s">
        <v>374</v>
      </c>
      <c r="E92" s="1" t="s">
        <v>595</v>
      </c>
      <c r="K92" s="68">
        <v>5</v>
      </c>
      <c r="L92" s="72">
        <v>44562</v>
      </c>
      <c r="M92" s="68" t="str">
        <f>TEXT(Table2[[#This Row],[Periode]],"Mmm-YYYY")</f>
        <v>Jan-2022</v>
      </c>
    </row>
    <row r="93" spans="1:13" ht="45" x14ac:dyDescent="0.25">
      <c r="A93" s="8" t="str">
        <f>Table2[[#This Row],[No]]&amp;(TEXT(Table2[[#This Row],[Periode]],"dd/mm/yyyy"))</f>
        <v>III.A.1.2.a01/01/2022</v>
      </c>
      <c r="B93" t="s">
        <v>388</v>
      </c>
      <c r="C93" t="s">
        <v>368</v>
      </c>
      <c r="D93" t="s">
        <v>374</v>
      </c>
      <c r="E93" s="1" t="s">
        <v>12</v>
      </c>
      <c r="K93" s="68">
        <v>5</v>
      </c>
      <c r="L93" s="72">
        <v>44562</v>
      </c>
      <c r="M93" s="68" t="str">
        <f>TEXT(Table2[[#This Row],[Periode]],"Mmm-YYYY")</f>
        <v>Jan-2022</v>
      </c>
    </row>
    <row r="94" spans="1:13" ht="30" x14ac:dyDescent="0.25">
      <c r="A94" s="8" t="str">
        <f>Table2[[#This Row],[No]]&amp;(TEXT(Table2[[#This Row],[Periode]],"dd/mm/yyyy"))</f>
        <v>III.A.1.3.a01/01/2022</v>
      </c>
      <c r="B94" t="s">
        <v>389</v>
      </c>
      <c r="C94" t="s">
        <v>368</v>
      </c>
      <c r="D94" t="s">
        <v>374</v>
      </c>
      <c r="E94" s="1" t="s">
        <v>6</v>
      </c>
      <c r="K94" s="68">
        <v>5</v>
      </c>
      <c r="L94" s="72">
        <v>44562</v>
      </c>
      <c r="M94" s="68" t="str">
        <f>TEXT(Table2[[#This Row],[Periode]],"Mmm-YYYY")</f>
        <v>Jan-2022</v>
      </c>
    </row>
    <row r="95" spans="1:13" ht="30" x14ac:dyDescent="0.25">
      <c r="A95" s="8" t="str">
        <f>Table2[[#This Row],[No]]&amp;(TEXT(Table2[[#This Row],[Periode]],"dd/mm/yyyy"))</f>
        <v>III.A.1.3.b01/01/2022</v>
      </c>
      <c r="B95" t="s">
        <v>390</v>
      </c>
      <c r="C95" t="s">
        <v>368</v>
      </c>
      <c r="D95" t="s">
        <v>374</v>
      </c>
      <c r="E95" s="1" t="s">
        <v>7</v>
      </c>
      <c r="K95" s="68">
        <v>5</v>
      </c>
      <c r="L95" s="72">
        <v>44562</v>
      </c>
      <c r="M95" s="68" t="str">
        <f>TEXT(Table2[[#This Row],[Periode]],"Mmm-YYYY")</f>
        <v>Jan-2022</v>
      </c>
    </row>
    <row r="96" spans="1:13" x14ac:dyDescent="0.25">
      <c r="A96" s="8" t="str">
        <f>Table2[[#This Row],[No]]&amp;(TEXT(Table2[[#This Row],[Periode]],"dd/mm/yyyy"))</f>
        <v>III.A.1.3.c01/01/2022</v>
      </c>
      <c r="B96" t="s">
        <v>391</v>
      </c>
      <c r="C96" t="s">
        <v>368</v>
      </c>
      <c r="D96" t="s">
        <v>374</v>
      </c>
      <c r="E96" s="1" t="s">
        <v>8</v>
      </c>
      <c r="K96" s="68">
        <v>5</v>
      </c>
      <c r="L96" s="72">
        <v>44562</v>
      </c>
      <c r="M96" s="68" t="str">
        <f>TEXT(Table2[[#This Row],[Periode]],"Mmm-YYYY")</f>
        <v>Jan-2022</v>
      </c>
    </row>
    <row r="97" spans="1:13" ht="60" x14ac:dyDescent="0.25">
      <c r="A97" s="8" t="str">
        <f>Table2[[#This Row],[No]]&amp;(TEXT(Table2[[#This Row],[Periode]],"dd/mm/yyyy"))</f>
        <v>III.A.1.3.d01/01/2022</v>
      </c>
      <c r="B97" t="s">
        <v>392</v>
      </c>
      <c r="C97" t="s">
        <v>368</v>
      </c>
      <c r="D97" t="s">
        <v>374</v>
      </c>
      <c r="E97" s="1" t="s">
        <v>9</v>
      </c>
      <c r="K97" s="68">
        <v>5</v>
      </c>
      <c r="L97" s="72">
        <v>44562</v>
      </c>
      <c r="M97" s="68" t="str">
        <f>TEXT(Table2[[#This Row],[Periode]],"Mmm-YYYY")</f>
        <v>Jan-2022</v>
      </c>
    </row>
    <row r="98" spans="1:13" ht="60" x14ac:dyDescent="0.25">
      <c r="A98" s="8" t="str">
        <f>Table2[[#This Row],[No]]&amp;(TEXT(Table2[[#This Row],[Periode]],"dd/mm/yyyy"))</f>
        <v>III.A.1.3.e01/01/2022</v>
      </c>
      <c r="B98" t="s">
        <v>393</v>
      </c>
      <c r="C98" t="s">
        <v>368</v>
      </c>
      <c r="D98" t="s">
        <v>374</v>
      </c>
      <c r="E98" s="1" t="s">
        <v>10</v>
      </c>
      <c r="K98" s="68">
        <v>5</v>
      </c>
      <c r="L98" s="72">
        <v>44562</v>
      </c>
      <c r="M98" s="68" t="str">
        <f>TEXT(Table2[[#This Row],[Periode]],"Mmm-YYYY")</f>
        <v>Jan-2022</v>
      </c>
    </row>
    <row r="99" spans="1:13" ht="180" x14ac:dyDescent="0.25">
      <c r="A99" s="8" t="str">
        <f>Table2[[#This Row],[No]]&amp;(TEXT(Table2[[#This Row],[Periode]],"dd/mm/yyyy"))</f>
        <v>III.A.1.4.a01/01/2022</v>
      </c>
      <c r="B99" t="s">
        <v>394</v>
      </c>
      <c r="C99" t="s">
        <v>368</v>
      </c>
      <c r="D99" t="s">
        <v>374</v>
      </c>
      <c r="E99" s="1" t="s">
        <v>596</v>
      </c>
      <c r="K99" s="68">
        <v>5</v>
      </c>
      <c r="L99" s="72">
        <v>44562</v>
      </c>
      <c r="M99" s="68" t="str">
        <f>TEXT(Table2[[#This Row],[Periode]],"Mmm-YYYY")</f>
        <v>Jan-2022</v>
      </c>
    </row>
    <row r="100" spans="1:13" x14ac:dyDescent="0.25">
      <c r="A100" s="8" t="str">
        <f>Table2[[#This Row],[No]]&amp;(TEXT(Table2[[#This Row],[Periode]],"dd/mm/yyyy"))</f>
        <v>III.A.1.4.b01/01/2022</v>
      </c>
      <c r="B100" t="s">
        <v>395</v>
      </c>
      <c r="C100" t="s">
        <v>368</v>
      </c>
      <c r="D100" t="s">
        <v>374</v>
      </c>
      <c r="E100" s="1" t="s">
        <v>11</v>
      </c>
      <c r="K100" s="68">
        <v>5</v>
      </c>
      <c r="L100" s="72">
        <v>44562</v>
      </c>
      <c r="M100" s="68" t="str">
        <f>TEXT(Table2[[#This Row],[Periode]],"Mmm-YYYY")</f>
        <v>Jan-2022</v>
      </c>
    </row>
  </sheetData>
  <sheetProtection password="E0C0" sheet="1" objects="1" scenarios="1"/>
  <conditionalFormatting sqref="A1:A4">
    <cfRule type="duplicateValues" dxfId="11" priority="72"/>
  </conditionalFormatting>
  <conditionalFormatting sqref="A5:A100">
    <cfRule type="duplicateValues" dxfId="10" priority="122"/>
  </conditionalFormatting>
  <pageMargins left="0.7" right="0.7" top="0.75" bottom="0.75" header="0.3" footer="0.3"/>
  <pageSetup paperSize="9" orientation="portrait" horizontalDpi="4294967292" verticalDpi="0" r:id="rId1"/>
  <drawing r:id="rId2"/>
  <legacyDrawing r:id="rId3"/>
  <controls>
    <mc:AlternateContent xmlns:mc="http://schemas.openxmlformats.org/markup-compatibility/2006">
      <mc:Choice Requires="x14">
        <control shapeId="45058" r:id="rId4" name="menu_risiko_strategis">
          <controlPr defaultSize="0" autoLine="0" r:id="rId5">
            <anchor moveWithCells="1">
              <from>
                <xdr:col>0</xdr:col>
                <xdr:colOff>95250</xdr:colOff>
                <xdr:row>0</xdr:row>
                <xdr:rowOff>123825</xdr:rowOff>
              </from>
              <to>
                <xdr:col>2</xdr:col>
                <xdr:colOff>676275</xdr:colOff>
                <xdr:row>2</xdr:row>
                <xdr:rowOff>57150</xdr:rowOff>
              </to>
            </anchor>
          </controlPr>
        </control>
      </mc:Choice>
      <mc:Fallback>
        <control shapeId="45058" r:id="rId4" name="menu_risiko_strategis"/>
      </mc:Fallback>
    </mc:AlternateContent>
    <mc:AlternateContent xmlns:mc="http://schemas.openxmlformats.org/markup-compatibility/2006">
      <mc:Choice Requires="x14">
        <control shapeId="45059" r:id="rId6" name="menu_risiko_operasional">
          <controlPr defaultSize="0" autoLine="0" r:id="rId7">
            <anchor moveWithCells="1">
              <from>
                <xdr:col>2</xdr:col>
                <xdr:colOff>847725</xdr:colOff>
                <xdr:row>0</xdr:row>
                <xdr:rowOff>123825</xdr:rowOff>
              </from>
              <to>
                <xdr:col>3</xdr:col>
                <xdr:colOff>828675</xdr:colOff>
                <xdr:row>2</xdr:row>
                <xdr:rowOff>57150</xdr:rowOff>
              </to>
            </anchor>
          </controlPr>
        </control>
      </mc:Choice>
      <mc:Fallback>
        <control shapeId="45059" r:id="rId6" name="menu_risiko_operasional"/>
      </mc:Fallback>
    </mc:AlternateContent>
    <mc:AlternateContent xmlns:mc="http://schemas.openxmlformats.org/markup-compatibility/2006">
      <mc:Choice Requires="x14">
        <control shapeId="45060" r:id="rId8" name="menu_risiko_hukum">
          <controlPr defaultSize="0" autoLine="0" r:id="rId9">
            <anchor moveWithCells="1">
              <from>
                <xdr:col>3</xdr:col>
                <xdr:colOff>1019175</xdr:colOff>
                <xdr:row>0</xdr:row>
                <xdr:rowOff>123825</xdr:rowOff>
              </from>
              <to>
                <xdr:col>4</xdr:col>
                <xdr:colOff>1000125</xdr:colOff>
                <xdr:row>2</xdr:row>
                <xdr:rowOff>57150</xdr:rowOff>
              </to>
            </anchor>
          </controlPr>
        </control>
      </mc:Choice>
      <mc:Fallback>
        <control shapeId="45060" r:id="rId8" name="menu_risiko_hukum"/>
      </mc:Fallback>
    </mc:AlternateContent>
    <mc:AlternateContent xmlns:mc="http://schemas.openxmlformats.org/markup-compatibility/2006">
      <mc:Choice Requires="x14">
        <control shapeId="45061" r:id="rId10" name="menu_risiko_reputasi">
          <controlPr defaultSize="0" autoLine="0" r:id="rId11">
            <anchor moveWithCells="1">
              <from>
                <xdr:col>4</xdr:col>
                <xdr:colOff>2657475</xdr:colOff>
                <xdr:row>0</xdr:row>
                <xdr:rowOff>123825</xdr:rowOff>
              </from>
              <to>
                <xdr:col>5</xdr:col>
                <xdr:colOff>476250</xdr:colOff>
                <xdr:row>2</xdr:row>
                <xdr:rowOff>57150</xdr:rowOff>
              </to>
            </anchor>
          </controlPr>
        </control>
      </mc:Choice>
      <mc:Fallback>
        <control shapeId="45061" r:id="rId10" name="menu_risiko_reputasi"/>
      </mc:Fallback>
    </mc:AlternateContent>
    <mc:AlternateContent xmlns:mc="http://schemas.openxmlformats.org/markup-compatibility/2006">
      <mc:Choice Requires="x14">
        <control shapeId="45062" r:id="rId12" name="menu_risiko_kepatuhan">
          <controlPr defaultSize="0" autoLine="0" r:id="rId13">
            <anchor moveWithCells="1">
              <from>
                <xdr:col>4</xdr:col>
                <xdr:colOff>1171575</xdr:colOff>
                <xdr:row>0</xdr:row>
                <xdr:rowOff>123825</xdr:rowOff>
              </from>
              <to>
                <xdr:col>4</xdr:col>
                <xdr:colOff>2495550</xdr:colOff>
                <xdr:row>2</xdr:row>
                <xdr:rowOff>57150</xdr:rowOff>
              </to>
            </anchor>
          </controlPr>
        </control>
      </mc:Choice>
      <mc:Fallback>
        <control shapeId="45062" r:id="rId12" name="menu_risiko_kepatuhan"/>
      </mc:Fallback>
    </mc:AlternateContent>
    <mc:AlternateContent xmlns:mc="http://schemas.openxmlformats.org/markup-compatibility/2006">
      <mc:Choice Requires="x14">
        <control shapeId="45063" r:id="rId14" name="menu_risiko_komposit">
          <controlPr defaultSize="0" autoLine="0" r:id="rId15">
            <anchor moveWithCells="1">
              <from>
                <xdr:col>5</xdr:col>
                <xdr:colOff>657225</xdr:colOff>
                <xdr:row>0</xdr:row>
                <xdr:rowOff>123825</xdr:rowOff>
              </from>
              <to>
                <xdr:col>6</xdr:col>
                <xdr:colOff>447675</xdr:colOff>
                <xdr:row>2</xdr:row>
                <xdr:rowOff>57150</xdr:rowOff>
              </to>
            </anchor>
          </controlPr>
        </control>
      </mc:Choice>
      <mc:Fallback>
        <control shapeId="45063" r:id="rId14" name="menu_risiko_komposit"/>
      </mc:Fallback>
    </mc:AlternateContent>
  </controls>
  <tableParts count="1">
    <tablePart r:id="rId1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1"/>
  <sheetViews>
    <sheetView topLeftCell="A9" workbookViewId="0">
      <selection activeCell="F29" sqref="F29"/>
    </sheetView>
  </sheetViews>
  <sheetFormatPr defaultRowHeight="15" x14ac:dyDescent="0.25"/>
  <cols>
    <col min="2" max="2" width="14.7109375" bestFit="1" customWidth="1"/>
    <col min="3" max="3" width="11.5703125" bestFit="1" customWidth="1"/>
    <col min="4" max="4" width="4.28515625" bestFit="1" customWidth="1"/>
    <col min="6" max="6" width="29.7109375" customWidth="1"/>
    <col min="7" max="7" width="12.140625" bestFit="1" customWidth="1"/>
  </cols>
  <sheetData>
    <row r="1" spans="1:7" x14ac:dyDescent="0.25">
      <c r="A1" t="s">
        <v>555</v>
      </c>
      <c r="B1" t="s">
        <v>1</v>
      </c>
      <c r="C1" t="s">
        <v>2</v>
      </c>
      <c r="D1" t="s">
        <v>16</v>
      </c>
      <c r="E1" t="s">
        <v>17</v>
      </c>
      <c r="F1" t="s">
        <v>19</v>
      </c>
      <c r="G1" t="s">
        <v>20</v>
      </c>
    </row>
    <row r="2" spans="1:7" x14ac:dyDescent="0.25">
      <c r="A2" t="s">
        <v>15</v>
      </c>
      <c r="B2">
        <v>1</v>
      </c>
      <c r="C2">
        <v>1</v>
      </c>
      <c r="D2" t="str">
        <f>B2&amp;C2</f>
        <v>11</v>
      </c>
      <c r="E2">
        <v>1</v>
      </c>
      <c r="F2" t="s">
        <v>21</v>
      </c>
      <c r="G2" s="4" t="s">
        <v>24</v>
      </c>
    </row>
    <row r="3" spans="1:7" x14ac:dyDescent="0.25">
      <c r="A3" t="s">
        <v>15</v>
      </c>
      <c r="B3">
        <v>1</v>
      </c>
      <c r="C3">
        <v>2</v>
      </c>
      <c r="D3" t="str">
        <f t="shared" ref="D3:D26" si="0">B3&amp;C3</f>
        <v>12</v>
      </c>
      <c r="E3">
        <v>1</v>
      </c>
      <c r="F3" t="s">
        <v>21</v>
      </c>
      <c r="G3" s="4" t="s">
        <v>24</v>
      </c>
    </row>
    <row r="4" spans="1:7" x14ac:dyDescent="0.25">
      <c r="A4" t="s">
        <v>15</v>
      </c>
      <c r="B4">
        <v>1</v>
      </c>
      <c r="C4">
        <v>3</v>
      </c>
      <c r="D4" t="str">
        <f t="shared" si="0"/>
        <v>13</v>
      </c>
      <c r="E4">
        <v>1</v>
      </c>
      <c r="F4" t="s">
        <v>21</v>
      </c>
      <c r="G4" s="4" t="s">
        <v>24</v>
      </c>
    </row>
    <row r="5" spans="1:7" x14ac:dyDescent="0.25">
      <c r="A5" t="s">
        <v>15</v>
      </c>
      <c r="B5">
        <v>1</v>
      </c>
      <c r="C5">
        <v>4</v>
      </c>
      <c r="D5" t="str">
        <f t="shared" si="0"/>
        <v>14</v>
      </c>
      <c r="E5">
        <v>1</v>
      </c>
      <c r="F5" t="s">
        <v>21</v>
      </c>
      <c r="G5" s="4" t="s">
        <v>24</v>
      </c>
    </row>
    <row r="6" spans="1:7" x14ac:dyDescent="0.25">
      <c r="A6" t="s">
        <v>15</v>
      </c>
      <c r="B6">
        <v>1</v>
      </c>
      <c r="C6">
        <v>5</v>
      </c>
      <c r="D6" t="str">
        <f t="shared" si="0"/>
        <v>15</v>
      </c>
      <c r="E6">
        <v>1</v>
      </c>
      <c r="F6" t="s">
        <v>21</v>
      </c>
      <c r="G6" s="4" t="s">
        <v>24</v>
      </c>
    </row>
    <row r="7" spans="1:7" x14ac:dyDescent="0.25">
      <c r="A7" t="s">
        <v>15</v>
      </c>
      <c r="B7">
        <v>2</v>
      </c>
      <c r="C7">
        <v>1</v>
      </c>
      <c r="D7" t="str">
        <f t="shared" si="0"/>
        <v>21</v>
      </c>
      <c r="E7">
        <v>1</v>
      </c>
      <c r="F7" s="2" t="s">
        <v>29</v>
      </c>
      <c r="G7" s="4" t="s">
        <v>25</v>
      </c>
    </row>
    <row r="8" spans="1:7" x14ac:dyDescent="0.25">
      <c r="A8" t="s">
        <v>15</v>
      </c>
      <c r="B8">
        <v>2</v>
      </c>
      <c r="C8">
        <v>2</v>
      </c>
      <c r="D8" t="str">
        <f t="shared" si="0"/>
        <v>22</v>
      </c>
      <c r="E8">
        <v>2</v>
      </c>
      <c r="F8" s="2" t="s">
        <v>29</v>
      </c>
      <c r="G8" s="4" t="s">
        <v>25</v>
      </c>
    </row>
    <row r="9" spans="1:7" x14ac:dyDescent="0.25">
      <c r="A9" t="s">
        <v>15</v>
      </c>
      <c r="B9">
        <v>2</v>
      </c>
      <c r="C9">
        <v>3</v>
      </c>
      <c r="D9" t="str">
        <f t="shared" si="0"/>
        <v>23</v>
      </c>
      <c r="E9">
        <v>2</v>
      </c>
      <c r="F9" s="2" t="s">
        <v>29</v>
      </c>
      <c r="G9" s="4" t="s">
        <v>25</v>
      </c>
    </row>
    <row r="10" spans="1:7" x14ac:dyDescent="0.25">
      <c r="A10" t="s">
        <v>15</v>
      </c>
      <c r="B10">
        <v>2</v>
      </c>
      <c r="C10">
        <v>4</v>
      </c>
      <c r="D10" t="str">
        <f t="shared" si="0"/>
        <v>24</v>
      </c>
      <c r="E10">
        <v>2</v>
      </c>
      <c r="F10" s="2" t="s">
        <v>29</v>
      </c>
      <c r="G10" s="4" t="s">
        <v>25</v>
      </c>
    </row>
    <row r="11" spans="1:7" x14ac:dyDescent="0.25">
      <c r="A11" t="s">
        <v>15</v>
      </c>
      <c r="B11">
        <v>2</v>
      </c>
      <c r="C11">
        <v>5</v>
      </c>
      <c r="D11" t="str">
        <f t="shared" si="0"/>
        <v>25</v>
      </c>
      <c r="E11">
        <v>2</v>
      </c>
      <c r="F11" s="2" t="s">
        <v>29</v>
      </c>
      <c r="G11" s="4" t="s">
        <v>25</v>
      </c>
    </row>
    <row r="12" spans="1:7" x14ac:dyDescent="0.25">
      <c r="A12" t="s">
        <v>15</v>
      </c>
      <c r="B12">
        <v>3</v>
      </c>
      <c r="C12">
        <v>1</v>
      </c>
      <c r="D12" t="str">
        <f t="shared" si="0"/>
        <v>31</v>
      </c>
      <c r="E12">
        <v>2</v>
      </c>
      <c r="F12" s="2" t="s">
        <v>30</v>
      </c>
      <c r="G12" s="4" t="s">
        <v>26</v>
      </c>
    </row>
    <row r="13" spans="1:7" x14ac:dyDescent="0.25">
      <c r="A13" t="s">
        <v>15</v>
      </c>
      <c r="B13">
        <v>3</v>
      </c>
      <c r="C13">
        <v>2</v>
      </c>
      <c r="D13" t="str">
        <f t="shared" si="0"/>
        <v>32</v>
      </c>
      <c r="E13">
        <v>2</v>
      </c>
      <c r="F13" s="2" t="s">
        <v>30</v>
      </c>
      <c r="G13" s="4" t="s">
        <v>26</v>
      </c>
    </row>
    <row r="14" spans="1:7" x14ac:dyDescent="0.25">
      <c r="A14" t="s">
        <v>15</v>
      </c>
      <c r="B14">
        <v>3</v>
      </c>
      <c r="C14">
        <v>3</v>
      </c>
      <c r="D14" t="str">
        <f t="shared" si="0"/>
        <v>33</v>
      </c>
      <c r="E14">
        <v>3</v>
      </c>
      <c r="F14" s="2" t="s">
        <v>30</v>
      </c>
      <c r="G14" s="4" t="s">
        <v>26</v>
      </c>
    </row>
    <row r="15" spans="1:7" x14ac:dyDescent="0.25">
      <c r="A15" t="s">
        <v>15</v>
      </c>
      <c r="B15">
        <v>3</v>
      </c>
      <c r="C15">
        <v>4</v>
      </c>
      <c r="D15" t="str">
        <f t="shared" si="0"/>
        <v>34</v>
      </c>
      <c r="E15">
        <v>3</v>
      </c>
      <c r="F15" s="2" t="s">
        <v>30</v>
      </c>
      <c r="G15" s="4" t="s">
        <v>26</v>
      </c>
    </row>
    <row r="16" spans="1:7" x14ac:dyDescent="0.25">
      <c r="A16" t="s">
        <v>15</v>
      </c>
      <c r="B16">
        <v>3</v>
      </c>
      <c r="C16">
        <v>5</v>
      </c>
      <c r="D16" t="str">
        <f t="shared" si="0"/>
        <v>35</v>
      </c>
      <c r="E16">
        <v>3</v>
      </c>
      <c r="F16" s="2" t="s">
        <v>30</v>
      </c>
      <c r="G16" s="4" t="s">
        <v>26</v>
      </c>
    </row>
    <row r="17" spans="1:7" x14ac:dyDescent="0.25">
      <c r="A17" t="s">
        <v>15</v>
      </c>
      <c r="B17">
        <v>4</v>
      </c>
      <c r="C17">
        <v>1</v>
      </c>
      <c r="D17" t="str">
        <f t="shared" si="0"/>
        <v>41</v>
      </c>
      <c r="E17">
        <v>2</v>
      </c>
      <c r="F17" s="2" t="s">
        <v>22</v>
      </c>
      <c r="G17" s="4" t="s">
        <v>27</v>
      </c>
    </row>
    <row r="18" spans="1:7" x14ac:dyDescent="0.25">
      <c r="A18" t="s">
        <v>15</v>
      </c>
      <c r="B18">
        <v>4</v>
      </c>
      <c r="C18">
        <v>2</v>
      </c>
      <c r="D18" t="str">
        <f t="shared" si="0"/>
        <v>42</v>
      </c>
      <c r="E18">
        <v>3</v>
      </c>
      <c r="F18" s="2" t="s">
        <v>22</v>
      </c>
      <c r="G18" s="4" t="s">
        <v>27</v>
      </c>
    </row>
    <row r="19" spans="1:7" x14ac:dyDescent="0.25">
      <c r="A19" t="s">
        <v>15</v>
      </c>
      <c r="B19">
        <v>4</v>
      </c>
      <c r="C19">
        <v>3</v>
      </c>
      <c r="D19" t="str">
        <f t="shared" si="0"/>
        <v>43</v>
      </c>
      <c r="E19">
        <v>4</v>
      </c>
      <c r="F19" s="2" t="s">
        <v>22</v>
      </c>
      <c r="G19" s="4" t="s">
        <v>27</v>
      </c>
    </row>
    <row r="20" spans="1:7" x14ac:dyDescent="0.25">
      <c r="A20" t="s">
        <v>15</v>
      </c>
      <c r="B20">
        <v>4</v>
      </c>
      <c r="C20">
        <v>4</v>
      </c>
      <c r="D20" t="str">
        <f t="shared" si="0"/>
        <v>44</v>
      </c>
      <c r="E20">
        <v>4</v>
      </c>
      <c r="F20" s="2" t="s">
        <v>22</v>
      </c>
      <c r="G20" s="4" t="s">
        <v>27</v>
      </c>
    </row>
    <row r="21" spans="1:7" x14ac:dyDescent="0.25">
      <c r="A21" t="s">
        <v>15</v>
      </c>
      <c r="B21">
        <v>4</v>
      </c>
      <c r="C21">
        <v>5</v>
      </c>
      <c r="D21" t="str">
        <f t="shared" si="0"/>
        <v>45</v>
      </c>
      <c r="E21">
        <v>4</v>
      </c>
      <c r="F21" s="2" t="s">
        <v>22</v>
      </c>
      <c r="G21" s="4" t="s">
        <v>27</v>
      </c>
    </row>
    <row r="22" spans="1:7" x14ac:dyDescent="0.25">
      <c r="A22" t="s">
        <v>15</v>
      </c>
      <c r="B22">
        <v>5</v>
      </c>
      <c r="C22">
        <v>1</v>
      </c>
      <c r="D22" t="str">
        <f t="shared" si="0"/>
        <v>51</v>
      </c>
      <c r="E22">
        <v>3</v>
      </c>
      <c r="F22" s="2" t="s">
        <v>23</v>
      </c>
      <c r="G22" s="5" t="s">
        <v>28</v>
      </c>
    </row>
    <row r="23" spans="1:7" x14ac:dyDescent="0.25">
      <c r="A23" t="s">
        <v>15</v>
      </c>
      <c r="B23">
        <v>5</v>
      </c>
      <c r="C23">
        <v>2</v>
      </c>
      <c r="D23" t="str">
        <f t="shared" si="0"/>
        <v>52</v>
      </c>
      <c r="E23">
        <v>3</v>
      </c>
      <c r="F23" s="2" t="s">
        <v>23</v>
      </c>
      <c r="G23" s="5" t="s">
        <v>28</v>
      </c>
    </row>
    <row r="24" spans="1:7" x14ac:dyDescent="0.25">
      <c r="A24" t="s">
        <v>15</v>
      </c>
      <c r="B24">
        <v>5</v>
      </c>
      <c r="C24">
        <v>3</v>
      </c>
      <c r="D24" t="str">
        <f t="shared" si="0"/>
        <v>53</v>
      </c>
      <c r="E24">
        <v>4</v>
      </c>
      <c r="F24" s="2" t="s">
        <v>23</v>
      </c>
      <c r="G24" s="5" t="s">
        <v>28</v>
      </c>
    </row>
    <row r="25" spans="1:7" x14ac:dyDescent="0.25">
      <c r="A25" t="s">
        <v>15</v>
      </c>
      <c r="B25">
        <v>5</v>
      </c>
      <c r="C25">
        <v>4</v>
      </c>
      <c r="D25" t="str">
        <f t="shared" si="0"/>
        <v>54</v>
      </c>
      <c r="E25">
        <v>5</v>
      </c>
      <c r="F25" s="2" t="s">
        <v>23</v>
      </c>
      <c r="G25" s="5" t="s">
        <v>28</v>
      </c>
    </row>
    <row r="26" spans="1:7" x14ac:dyDescent="0.25">
      <c r="A26" t="s">
        <v>15</v>
      </c>
      <c r="B26">
        <v>5</v>
      </c>
      <c r="C26">
        <v>5</v>
      </c>
      <c r="D26" t="str">
        <f t="shared" si="0"/>
        <v>55</v>
      </c>
      <c r="E26">
        <v>5</v>
      </c>
      <c r="F26" s="2" t="s">
        <v>23</v>
      </c>
      <c r="G26" s="5" t="s">
        <v>28</v>
      </c>
    </row>
    <row r="27" spans="1:7" x14ac:dyDescent="0.25">
      <c r="A27" t="s">
        <v>370</v>
      </c>
      <c r="D27" t="str">
        <f>A27&amp;E27</f>
        <v>Komposit Perusahaan1</v>
      </c>
      <c r="E27">
        <v>1</v>
      </c>
      <c r="F27" t="s">
        <v>557</v>
      </c>
    </row>
    <row r="28" spans="1:7" x14ac:dyDescent="0.25">
      <c r="A28" t="s">
        <v>370</v>
      </c>
      <c r="D28" t="str">
        <f t="shared" ref="D28:D31" si="1">A28&amp;E28</f>
        <v>Komposit Perusahaan2</v>
      </c>
      <c r="E28">
        <v>2</v>
      </c>
      <c r="F28" t="s">
        <v>558</v>
      </c>
    </row>
    <row r="29" spans="1:7" x14ac:dyDescent="0.25">
      <c r="A29" t="s">
        <v>370</v>
      </c>
      <c r="D29" t="str">
        <f t="shared" si="1"/>
        <v>Komposit Perusahaan3</v>
      </c>
      <c r="E29">
        <v>3</v>
      </c>
      <c r="F29" t="s">
        <v>559</v>
      </c>
    </row>
    <row r="30" spans="1:7" x14ac:dyDescent="0.25">
      <c r="A30" t="s">
        <v>370</v>
      </c>
      <c r="D30" t="str">
        <f t="shared" si="1"/>
        <v>Komposit Perusahaan4</v>
      </c>
      <c r="E30">
        <v>4</v>
      </c>
      <c r="F30" t="s">
        <v>560</v>
      </c>
    </row>
    <row r="31" spans="1:7" x14ac:dyDescent="0.25">
      <c r="A31" t="s">
        <v>370</v>
      </c>
      <c r="D31" t="str">
        <f t="shared" si="1"/>
        <v>Komposit Perusahaan5</v>
      </c>
      <c r="E31">
        <v>5</v>
      </c>
      <c r="F31" t="s">
        <v>561</v>
      </c>
    </row>
  </sheetData>
  <autoFilter ref="A1:G2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2.xml>�� 
</file>

<file path=customXml/itemProps1.xml><?xml version="1.0" encoding="utf-8"?>
<ds:datastoreItem xmlns:ds="http://schemas.openxmlformats.org/officeDocument/2006/customXml" ds:itemID="{FECFE93D-6E71-4DF7-A5DB-A5D22788E391}">
  <ds:schemaRefs>
    <ds:schemaRef ds:uri="http://schemas.microsoft.com/office/2006/customDocumentInformationPanel"/>
  </ds:schemaRefs>
</ds:datastoreItem>
</file>

<file path=customXml/itemProps2.xml><?xml version="1.0" encoding="utf-8"?>
<ds:datastoreItem xmlns:ds="http://schemas.openxmlformats.org/officeDocument/2006/customXml" ds:itemID="{709B9143-89F9-4143-878A-34A7CAA96CD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 Menu</vt:lpstr>
      <vt:lpstr>Report</vt:lpstr>
      <vt:lpstr>Risiko Komposit</vt:lpstr>
      <vt:lpstr>Chart</vt:lpstr>
      <vt:lpstr>Graphs</vt:lpstr>
      <vt:lpstr>Risiko Strategis</vt:lpstr>
      <vt:lpstr>Risiko Operasional</vt:lpstr>
      <vt:lpstr>Risiko Hukum</vt:lpstr>
      <vt:lpstr>Risiko Kepatuhan</vt:lpstr>
      <vt:lpstr>Risiko Reputasi</vt:lpstr>
      <vt:lpstr>Database</vt:lpstr>
      <vt:lpstr>Index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2022-02-22T12:42:54Z</cp:lastPrinted>
  <dcterms:created xsi:type="dcterms:W3CDTF">2022-01-06T07:44:23Z</dcterms:created>
  <dcterms:modified xsi:type="dcterms:W3CDTF">2022-03-02T07:50:03Z</dcterms:modified>
</cp:coreProperties>
</file>